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 vs Target" sheetId="1" state="visible" r:id="rId3"/>
    <sheet name="Phase Transitions" sheetId="2" state="visible" r:id="rId4"/>
    <sheet name="90-Day Sprint" sheetId="3" state="visible" r:id="rId5"/>
    <sheet name="Revenue Architecture" sheetId="4" state="visible" r:id="rId6"/>
    <sheet name="System Build Priority" sheetId="5" state="visible" r:id="rId7"/>
    <sheet name="Risk Register" sheetId="6" state="visible" r:id="rId8"/>
    <sheet name="Financial Model" sheetId="7" state="visible" r:id="rId9"/>
    <sheet name="Metrics 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<sst xmlns="http://schemas.openxmlformats.org/spreadsheetml/2006/main" count="1124" uniqueCount="697">
  <si>
    <t xml:space="preserve">Dimension</t>
  </si>
  <si>
    <t xml:space="preserve">Current State</t>
  </si>
  <si>
    <t xml:space="preserve">Target State (Year 3)</t>
  </si>
  <si>
    <t xml:space="preserve">Gap Description</t>
  </si>
  <si>
    <t xml:space="preserve">Gap Severity</t>
  </si>
  <si>
    <t xml:space="preserve">Dependencies</t>
  </si>
  <si>
    <t xml:space="preserve">Monthly Revenue</t>
  </si>
  <si>
    <t xml:space="preserve">$0</t>
  </si>
  <si>
    <t xml:space="preserve">$100K+/mo</t>
  </si>
  <si>
    <t xml:space="preserve">No revenue architecture</t>
  </si>
  <si>
    <t xml:space="preserve">Critical</t>
  </si>
  <si>
    <t xml:space="preserve">Market validation</t>
  </si>
  <si>
    <t xml:space="preserve">Total Customers</t>
  </si>
  <si>
    <t xml:space="preserve">0</t>
  </si>
  <si>
    <t xml:space="preserve">50+ enterprise</t>
  </si>
  <si>
    <t xml:space="preserve">No customer base</t>
  </si>
  <si>
    <t xml:space="preserve">Product-market fit</t>
  </si>
  <si>
    <t xml:space="preserve">Products Deployed</t>
  </si>
  <si>
    <t xml:space="preserve">5+ products</t>
  </si>
  <si>
    <t xml:space="preserve">Architecture only</t>
  </si>
  <si>
    <t xml:space="preserve">MVP build</t>
  </si>
  <si>
    <t xml:space="preserve">Trained Operators</t>
  </si>
  <si>
    <t xml:space="preserve">100+</t>
  </si>
  <si>
    <t xml:space="preserve">No talent pipeline</t>
  </si>
  <si>
    <t xml:space="preserve">High</t>
  </si>
  <si>
    <t xml:space="preserve">Operator Track launch</t>
  </si>
  <si>
    <t xml:space="preserve">Enterprise Deployments</t>
  </si>
  <si>
    <t xml:space="preserve">5+</t>
  </si>
  <si>
    <t xml:space="preserve">No deployments</t>
  </si>
  <si>
    <t xml:space="preserve">First paying client</t>
  </si>
  <si>
    <t xml:space="preserve">Agent Systems Built</t>
  </si>
  <si>
    <t xml:space="preserve">0 (architecture)</t>
  </si>
  <si>
    <t xml:space="preserve">20+ production</t>
  </si>
  <si>
    <t xml:space="preserve">Documents only</t>
  </si>
  <si>
    <t xml:space="preserve">Technical build</t>
  </si>
  <si>
    <t xml:space="preserve">Governance Infrastructure</t>
  </si>
  <si>
    <t xml:space="preserve">Specified</t>
  </si>
  <si>
    <t xml:space="preserve">Deployed</t>
  </si>
  <si>
    <t xml:space="preserve">Not instantiated</t>
  </si>
  <si>
    <t xml:space="preserve">Enterprise demand</t>
  </si>
  <si>
    <t xml:space="preserve">Insurance Layer</t>
  </si>
  <si>
    <t xml:space="preserve">Conceptual</t>
  </si>
  <si>
    <t xml:space="preserve">Active (50+ cycles)</t>
  </si>
  <si>
    <t xml:space="preserve">No empirical data</t>
  </si>
  <si>
    <t xml:space="preserve">Medium</t>
  </si>
  <si>
    <t xml:space="preserve">Phase 5+</t>
  </si>
  <si>
    <t xml:space="preserve">Constitutional Framework</t>
  </si>
  <si>
    <t xml:space="preserve">Documented</t>
  </si>
  <si>
    <t xml:space="preserve">Ratified</t>
  </si>
  <si>
    <t xml:space="preserve">Low</t>
  </si>
  <si>
    <t xml:space="preserve">Institutional scale</t>
  </si>
  <si>
    <t xml:space="preserve">Cloud Infrastructure</t>
  </si>
  <si>
    <t xml:space="preserve">None</t>
  </si>
  <si>
    <t xml:space="preserve">Multi-region GKE</t>
  </si>
  <si>
    <t xml:space="preserve">No deployment</t>
  </si>
  <si>
    <t xml:space="preserve">First AINE launch</t>
  </si>
  <si>
    <t xml:space="preserve">Data/Execution Telemetry</t>
  </si>
  <si>
    <t xml:space="preserve">Zero</t>
  </si>
  <si>
    <t xml:space="preserve">10K+ decision traces</t>
  </si>
  <si>
    <t xml:space="preserve">No data moat</t>
  </si>
  <si>
    <t xml:space="preserve">Production usage</t>
  </si>
  <si>
    <t xml:space="preserve">IP Portfolio</t>
  </si>
  <si>
    <t xml:space="preserve">Unregistered</t>
  </si>
  <si>
    <t xml:space="preserve">10+ registered</t>
  </si>
  <si>
    <t xml:space="preserve">No protection</t>
  </si>
  <si>
    <t xml:space="preserve">Revenue threshold</t>
  </si>
  <si>
    <t xml:space="preserve">Team Size</t>
  </si>
  <si>
    <t xml:space="preserve">1 (solo founder)</t>
  </si>
  <si>
    <t xml:space="preserve">50+ operators</t>
  </si>
  <si>
    <t xml:space="preserve">Bottleneck</t>
  </si>
  <si>
    <t xml:space="preserve">Revenue funds hiring</t>
  </si>
  <si>
    <t xml:space="preserve">External Capital</t>
  </si>
  <si>
    <t xml:space="preserve">Sustainable revenue</t>
  </si>
  <si>
    <t xml:space="preserve">Bootstrap only</t>
  </si>
  <si>
    <t xml:space="preserve">Revenue-first</t>
  </si>
  <si>
    <t xml:space="preserve">Market Validation</t>
  </si>
  <si>
    <t xml:space="preserve">0 conversations</t>
  </si>
  <si>
    <t xml:space="preserve">200+ discovery calls</t>
  </si>
  <si>
    <t xml:space="preserve">No buyer contact</t>
  </si>
  <si>
    <t xml:space="preserve">Week 1 priority</t>
  </si>
  <si>
    <t xml:space="preserve">Regulatory Positioning</t>
  </si>
  <si>
    <t xml:space="preserve">IMDA reference partner</t>
  </si>
  <si>
    <t xml:space="preserve">No engagement</t>
  </si>
  <si>
    <t xml:space="preserve">Phase 4+</t>
  </si>
  <si>
    <t xml:space="preserve">Case Studies</t>
  </si>
  <si>
    <t xml:space="preserve">10+ published</t>
  </si>
  <si>
    <t xml:space="preserve">No credibility</t>
  </si>
  <si>
    <t xml:space="preserve">First 3 clients</t>
  </si>
  <si>
    <t xml:space="preserve">Website (frankmax.com)</t>
  </si>
  <si>
    <t xml:space="preserve">Not launched</t>
  </si>
  <si>
    <t xml:space="preserve">Active, converting</t>
  </si>
  <si>
    <t xml:space="preserve">No web presence</t>
  </si>
  <si>
    <t xml:space="preserve">Month 1</t>
  </si>
  <si>
    <t xml:space="preserve">Legal Structure</t>
  </si>
  <si>
    <t xml:space="preserve">Unincorporated</t>
  </si>
  <si>
    <t xml:space="preserve">Registered entity</t>
  </si>
  <si>
    <t xml:space="preserve">No legal basis</t>
  </si>
  <si>
    <t xml:space="preserve">Technology Stack</t>
  </si>
  <si>
    <t xml:space="preserve">Not deployed</t>
  </si>
  <si>
    <t xml:space="preserve">Production k8s</t>
  </si>
  <si>
    <t xml:space="preserve">Nothing running</t>
  </si>
  <si>
    <t xml:space="preserve">Week 3-4</t>
  </si>
  <si>
    <t xml:space="preserve">ORF Protocol</t>
  </si>
  <si>
    <t xml:space="preserve">MVP kernel (K1-K4)</t>
  </si>
  <si>
    <t xml:space="preserve">Not built</t>
  </si>
  <si>
    <t xml:space="preserve">Phase 3+</t>
  </si>
  <si>
    <t xml:space="preserve">Frankmax PIAR</t>
  </si>
  <si>
    <t xml:space="preserve">Designed</t>
  </si>
  <si>
    <t xml:space="preserve">Deployed to 5+ clients</t>
  </si>
  <si>
    <t xml:space="preserve">Not operational</t>
  </si>
  <si>
    <t xml:space="preserve">Phase 3</t>
  </si>
  <si>
    <t xml:space="preserve">Levelupmax Track</t>
  </si>
  <si>
    <t xml:space="preserve">3+ cohorts completed</t>
  </si>
  <si>
    <t xml:space="preserve">Month 4</t>
  </si>
  <si>
    <t xml:space="preserve">DocuFlow Agent</t>
  </si>
  <si>
    <t xml:space="preserve">100+ paying users</t>
  </si>
  <si>
    <t xml:space="preserve">Week 1-2</t>
  </si>
  <si>
    <t xml:space="preserve">Billing Leakage Engine</t>
  </si>
  <si>
    <t xml:space="preserve">3+ enterprise clients</t>
  </si>
  <si>
    <t xml:space="preserve">Month 2-3</t>
  </si>
  <si>
    <t xml:space="preserve">Chokepoint Intelligence</t>
  </si>
  <si>
    <t xml:space="preserve">Framework exists</t>
  </si>
  <si>
    <t xml:space="preserve">5+ sprints delivered</t>
  </si>
  <si>
    <t xml:space="preserve">Not sold</t>
  </si>
  <si>
    <t xml:space="preserve">Insurance Claims Agent</t>
  </si>
  <si>
    <t xml:space="preserve">50K+ claims processed</t>
  </si>
  <si>
    <t xml:space="preserve">Month 7+</t>
  </si>
  <si>
    <t xml:space="preserve">Venture Cells</t>
  </si>
  <si>
    <t xml:space="preserve">10 active cells</t>
  </si>
  <si>
    <t xml:space="preserve">None operating</t>
  </si>
  <si>
    <t xml:space="preserve">Month 4+</t>
  </si>
  <si>
    <t xml:space="preserve">WGE OpenClaw Runtime</t>
  </si>
  <si>
    <t xml:space="preserve">Production runtime</t>
  </si>
  <si>
    <t xml:space="preserve">Agent Marketplace</t>
  </si>
  <si>
    <t xml:space="preserve">Beta with transactions</t>
  </si>
  <si>
    <t xml:space="preserve">Month 10+</t>
  </si>
  <si>
    <t xml:space="preserve">Kill Discipline</t>
  </si>
  <si>
    <t xml:space="preserve">3+ ventures killed</t>
  </si>
  <si>
    <t xml:space="preserve">Never tested</t>
  </si>
  <si>
    <t xml:space="preserve">Year 1</t>
  </si>
  <si>
    <t xml:space="preserve">PCI Enforcement</t>
  </si>
  <si>
    <t xml:space="preserve">Active enforcement</t>
  </si>
  <si>
    <t xml:space="preserve">Year 2+</t>
  </si>
  <si>
    <t xml:space="preserve">Death Protocol</t>
  </si>
  <si>
    <t xml:space="preserve">Executed 5+ times</t>
  </si>
  <si>
    <t xml:space="preserve">Cross-border Capability</t>
  </si>
  <si>
    <t xml:space="preserve">2+ jurisdictions</t>
  </si>
  <si>
    <t xml:space="preserve">Brand Authority</t>
  </si>
  <si>
    <t xml:space="preserve">Industry recognition</t>
  </si>
  <si>
    <t xml:space="preserve">Zero visibility</t>
  </si>
  <si>
    <t xml:space="preserve">Case studies first</t>
  </si>
  <si>
    <t xml:space="preserve">Promoter Network</t>
  </si>
  <si>
    <t xml:space="preserve">10+ active promoters</t>
  </si>
  <si>
    <t xml:space="preserve">No distribution</t>
  </si>
  <si>
    <t xml:space="preserve">UniVenture IP Stacks</t>
  </si>
  <si>
    <t xml:space="preserve">50+ designed</t>
  </si>
  <si>
    <t xml:space="preserve">5+ deployed</t>
  </si>
  <si>
    <t xml:space="preserve">LPI Services</t>
  </si>
  <si>
    <t xml:space="preserve">23 specified</t>
  </si>
  <si>
    <t xml:space="preserve">1 pilot</t>
  </si>
  <si>
    <t xml:space="preserve">Financial Model</t>
  </si>
  <si>
    <t xml:space="preserve">Projected</t>
  </si>
  <si>
    <t xml:space="preserve">Validated by actuals</t>
  </si>
  <si>
    <t xml:space="preserve">Unvalidated</t>
  </si>
  <si>
    <t xml:space="preserve">Month 3</t>
  </si>
  <si>
    <t xml:space="preserve">Audit Infrastructure</t>
  </si>
  <si>
    <t xml:space="preserve">Court-grade logging</t>
  </si>
  <si>
    <t xml:space="preserve">Phase#</t>
  </si>
  <si>
    <t xml:space="preserve">Name</t>
  </si>
  <si>
    <t xml:space="preserve">Duration(mo)</t>
  </si>
  <si>
    <t xml:space="preserve">Entry Conditions</t>
  </si>
  <si>
    <t xml:space="preserve">Exit Conditions</t>
  </si>
  <si>
    <t xml:space="preserve">Kill Criteria</t>
  </si>
  <si>
    <t xml:space="preserve">Monthly Rev Target</t>
  </si>
  <si>
    <t xml:space="preserve">Cumulative Rev</t>
  </si>
  <si>
    <t xml:space="preserve">Key Deliverables (top 5)</t>
  </si>
  <si>
    <t xml:space="preserve">Resources</t>
  </si>
  <si>
    <t xml:space="preserve">Capital Required</t>
  </si>
  <si>
    <t xml:space="preserve">Primary Risk</t>
  </si>
  <si>
    <t xml:space="preserve">Dependency</t>
  </si>
  <si>
    <t xml:space="preserve">Success Prob%</t>
  </si>
  <si>
    <t xml:space="preserve">First Revenue</t>
  </si>
  <si>
    <t xml:space="preserve">$10K+/mo revenue</t>
  </si>
  <si>
    <t xml:space="preserve">No revenue by Day 90</t>
  </si>
  <si>
    <t xml:space="preserve">$5-15K</t>
  </si>
  <si>
    <t xml:space="preserve">DocuFlow+Chokepoint+Website+Legal+First Client</t>
  </si>
  <si>
    <t xml:space="preserve">Solo founder</t>
  </si>
  <si>
    <t xml:space="preserve">No market need</t>
  </si>
  <si>
    <t xml:space="preserve">Scale &amp; Systemize</t>
  </si>
  <si>
    <t xml:space="preserve">$10K/mo revenue</t>
  </si>
  <si>
    <t xml:space="preserve">$30K+/mo, 3+ clients</t>
  </si>
  <si>
    <t xml:space="preserve">Margin&lt;35% by Month 6</t>
  </si>
  <si>
    <t xml:space="preserve">$15-30K</t>
  </si>
  <si>
    <t xml:space="preserve">$20-45K</t>
  </si>
  <si>
    <t xml:space="preserve">100 users+Operator Track+Enterprise Client+Agent System</t>
  </si>
  <si>
    <t xml:space="preserve">1 founder+5 operators</t>
  </si>
  <si>
    <t xml:space="preserve">$5K tools</t>
  </si>
  <si>
    <t xml:space="preserve">Talent quality</t>
  </si>
  <si>
    <t xml:space="preserve">Phase 1 revenue</t>
  </si>
  <si>
    <t xml:space="preserve">Verticalize</t>
  </si>
  <si>
    <t xml:space="preserve">$30K/mo, 3+ clients</t>
  </si>
  <si>
    <t xml:space="preserve">$50K+/mo, vertical proven</t>
  </si>
  <si>
    <t xml:space="preserve">Vertical underperforms horizontal</t>
  </si>
  <si>
    <t xml:space="preserve">$30-50K</t>
  </si>
  <si>
    <t xml:space="preserve">$50-95K</t>
  </si>
  <si>
    <t xml:space="preserve">Insurance agent+Copilot+Governance layer</t>
  </si>
  <si>
    <t xml:space="preserve">10-20 operators</t>
  </si>
  <si>
    <t xml:space="preserve">$10K infra</t>
  </si>
  <si>
    <t xml:space="preserve">Enterprise sales cycle</t>
  </si>
  <si>
    <t xml:space="preserve">Phase 2 clients</t>
  </si>
  <si>
    <t xml:space="preserve">Platform</t>
  </si>
  <si>
    <t xml:space="preserve">$50K/mo, vertical proven</t>
  </si>
  <si>
    <t xml:space="preserve">$100K+/mo, marketplace beta</t>
  </si>
  <si>
    <t xml:space="preserve">No network effects by Month 12</t>
  </si>
  <si>
    <t xml:space="preserve">$50-100K</t>
  </si>
  <si>
    <t xml:space="preserve">$100-195K</t>
  </si>
  <si>
    <t xml:space="preserve">Marketplace+Identity+Frankmax PIAR</t>
  </si>
  <si>
    <t xml:space="preserve">20-30 operators</t>
  </si>
  <si>
    <t xml:space="preserve">$25K infra</t>
  </si>
  <si>
    <t xml:space="preserve">Platform adoption</t>
  </si>
  <si>
    <t xml:space="preserve">Phase 3 vertical</t>
  </si>
  <si>
    <t xml:space="preserve">Cross-Industry</t>
  </si>
  <si>
    <t xml:space="preserve">$100K/mo, 1 vertical</t>
  </si>
  <si>
    <t xml:space="preserve">Multi-vertical, $200K/mo</t>
  </si>
  <si>
    <t xml:space="preserve">Industries won't adopt shared layer</t>
  </si>
  <si>
    <t xml:space="preserve">$100-200K</t>
  </si>
  <si>
    <t xml:space="preserve">$300-395K</t>
  </si>
  <si>
    <t xml:space="preserve">Cross-vertical agents+Coordination layer</t>
  </si>
  <si>
    <t xml:space="preserve">$50K</t>
  </si>
  <si>
    <t xml:space="preserve">Coordination complexity</t>
  </si>
  <si>
    <t xml:space="preserve">Phase 4 platform</t>
  </si>
  <si>
    <t xml:space="preserve">Institutional</t>
  </si>
  <si>
    <t xml:space="preserve">Multi-vertical</t>
  </si>
  <si>
    <t xml:space="preserve">Government pilots</t>
  </si>
  <si>
    <t xml:space="preserve">Regulatory blocks</t>
  </si>
  <si>
    <t xml:space="preserve">$200-400K</t>
  </si>
  <si>
    <t xml:space="preserve">$500-795K</t>
  </si>
  <si>
    <t xml:space="preserve">Gov pilots+Regulatory endorsement+ORF MVP</t>
  </si>
  <si>
    <t xml:space="preserve">100+ operators</t>
  </si>
  <si>
    <t xml:space="preserve">$100K</t>
  </si>
  <si>
    <t xml:space="preserve">Regulatory friction</t>
  </si>
  <si>
    <t xml:space="preserve">Phase 5 scale</t>
  </si>
  <si>
    <t xml:space="preserve">Infrastructure</t>
  </si>
  <si>
    <t xml:space="preserve">Government trust</t>
  </si>
  <si>
    <t xml:space="preserve">Platform&gt;product revenue</t>
  </si>
  <si>
    <t xml:space="preserve">Better alternative emerges</t>
  </si>
  <si>
    <t xml:space="preserve">$400K+</t>
  </si>
  <si>
    <t xml:space="preserve">$900K+</t>
  </si>
  <si>
    <t xml:space="preserve">Invisible infrastructure+Insurance layer</t>
  </si>
  <si>
    <t xml:space="preserve">200+ operators</t>
  </si>
  <si>
    <t xml:space="preserve">$250K</t>
  </si>
  <si>
    <t xml:space="preserve">Ecosystem competition</t>
  </si>
  <si>
    <t xml:space="preserve">Phase 6 institutional</t>
  </si>
  <si>
    <t xml:space="preserve">Week</t>
  </si>
  <si>
    <t xml:space="preserve">Primary Objective</t>
  </si>
  <si>
    <t xml:space="preserve">Secondary</t>
  </si>
  <si>
    <t xml:space="preserve">Deliverables</t>
  </si>
  <si>
    <t xml:space="preserve">Cumulative Rev($)</t>
  </si>
  <si>
    <t xml:space="preserve">Cumulative Conversations</t>
  </si>
  <si>
    <t xml:space="preserve">Cumulative Deals</t>
  </si>
  <si>
    <t xml:space="preserve">Blocker Risk</t>
  </si>
  <si>
    <t xml:space="preserve">Decision Required</t>
  </si>
  <si>
    <t xml:space="preserve">Tool Needed</t>
  </si>
  <si>
    <t xml:space="preserve">Success Metric</t>
  </si>
  <si>
    <t xml:space="preserve">Status</t>
  </si>
  <si>
    <t xml:space="preserve">Register legal entity + Launch frankmax.com</t>
  </si>
  <si>
    <t xml:space="preserve">Build prospect list</t>
  </si>
  <si>
    <t xml:space="preserve">Entity+Website+150 prospects</t>
  </si>
  <si>
    <t xml:space="preserve">Legal delays</t>
  </si>
  <si>
    <t xml:space="preserve">Entity type</t>
  </si>
  <si>
    <t xml:space="preserve">Domain+hosting</t>
  </si>
  <si>
    <t xml:space="preserve">Website live</t>
  </si>
  <si>
    <t xml:space="preserve">Not Started</t>
  </si>
  <si>
    <t xml:space="preserve">Start 20 discovery conversations</t>
  </si>
  <si>
    <t xml:space="preserve">Build DocuFlow MVP skeleton</t>
  </si>
  <si>
    <t xml:space="preserve">20 outreach emails sent</t>
  </si>
  <si>
    <t xml:space="preserve">Low response rate</t>
  </si>
  <si>
    <t xml:space="preserve">Which vertical first</t>
  </si>
  <si>
    <t xml:space="preserve">Email+CRM</t>
  </si>
  <si>
    <t xml:space="preserve">5 conversations booked</t>
  </si>
  <si>
    <t xml:space="preserve">Complete 10 discovery calls, extract pain</t>
  </si>
  <si>
    <t xml:space="preserve">DocuFlow v0.1 working</t>
  </si>
  <si>
    <t xml:space="preserve">Pain map+DocuFlow prototype</t>
  </si>
  <si>
    <t xml:space="preserve">Wrong vertical</t>
  </si>
  <si>
    <t xml:space="preserve">Pivot or persist</t>
  </si>
  <si>
    <t xml:space="preserve">Zoom+Notes</t>
  </si>
  <si>
    <t xml:space="preserve">10 calls completed</t>
  </si>
  <si>
    <t xml:space="preserve">Send 3 proposals from discovery insights</t>
  </si>
  <si>
    <t xml:space="preserve">DocuFlow beta with 3 test users</t>
  </si>
  <si>
    <t xml:space="preserve">3 proposals sent</t>
  </si>
  <si>
    <t xml:space="preserve">Proposals rejected</t>
  </si>
  <si>
    <t xml:space="preserve">Reprice or reposition</t>
  </si>
  <si>
    <t xml:space="preserve">Proposal template</t>
  </si>
  <si>
    <t xml:space="preserve">3 proposals out</t>
  </si>
  <si>
    <t xml:space="preserve">Close first deal</t>
  </si>
  <si>
    <t xml:space="preserve">DocuFlow onboard 5 beta users</t>
  </si>
  <si>
    <t xml:space="preserve">First signed contract</t>
  </si>
  <si>
    <t xml:space="preserve">Deal falls through</t>
  </si>
  <si>
    <t xml:space="preserve">Discount or walk</t>
  </si>
  <si>
    <t xml:space="preserve">Contract template</t>
  </si>
  <si>
    <t xml:space="preserve">$5K+ in pipeline</t>
  </si>
  <si>
    <t xml:space="preserve">Deliver first sprint/project</t>
  </si>
  <si>
    <t xml:space="preserve">Iterate DocuFlow based on feedback</t>
  </si>
  <si>
    <t xml:space="preserve">Sprint deliverable complete</t>
  </si>
  <si>
    <t xml:space="preserve">Delivery quality</t>
  </si>
  <si>
    <t xml:space="preserve">Hire help or solo</t>
  </si>
  <si>
    <t xml:space="preserve">Project tools</t>
  </si>
  <si>
    <t xml:space="preserve">Client satisfied</t>
  </si>
  <si>
    <t xml:space="preserve">Second deal from referral/pipeline</t>
  </si>
  <si>
    <t xml:space="preserve">DocuFlow 10 users</t>
  </si>
  <si>
    <t xml:space="preserve">Second contract signed</t>
  </si>
  <si>
    <t xml:space="preserve">Pipeline dry</t>
  </si>
  <si>
    <t xml:space="preserve">Double outreach</t>
  </si>
  <si>
    <t xml:space="preserve">Same</t>
  </si>
  <si>
    <t xml:space="preserve">2 paying clients</t>
  </si>
  <si>
    <t xml:space="preserve">Third deal + start recurring retainer</t>
  </si>
  <si>
    <t xml:space="preserve">Launch DocuFlow subscription</t>
  </si>
  <si>
    <t xml:space="preserve">Third contract+first retainer</t>
  </si>
  <si>
    <t xml:space="preserve">Capacity limit</t>
  </si>
  <si>
    <t xml:space="preserve">Prioritize</t>
  </si>
  <si>
    <t xml:space="preserve">Billing system</t>
  </si>
  <si>
    <t xml:space="preserve">$5K MRR</t>
  </si>
  <si>
    <t xml:space="preserve">Deliver second sprint</t>
  </si>
  <si>
    <t xml:space="preserve">Operator Track curriculum draft</t>
  </si>
  <si>
    <t xml:space="preserve">Second deliverable done</t>
  </si>
  <si>
    <t xml:space="preserve">Quality variance</t>
  </si>
  <si>
    <t xml:space="preserve">Standardize</t>
  </si>
  <si>
    <t xml:space="preserve">Delivery templates</t>
  </si>
  <si>
    <t xml:space="preserve">2 clients retained</t>
  </si>
  <si>
    <t xml:space="preserve">Fourth deal + Billing Leakage Engine pilot proposal</t>
  </si>
  <si>
    <t xml:space="preserve">Begin recruiting first 5 operators</t>
  </si>
  <si>
    <t xml:space="preserve">Fourth contract</t>
  </si>
  <si>
    <t xml:space="preserve">Solo capacity</t>
  </si>
  <si>
    <t xml:space="preserve">Must recruit</t>
  </si>
  <si>
    <t xml:space="preserve">Job posting</t>
  </si>
  <si>
    <t xml:space="preserve">4 deals total</t>
  </si>
  <si>
    <t xml:space="preserve">Deliver third sprint + close Billing Leakage pilot</t>
  </si>
  <si>
    <t xml:space="preserve">Operator screening (10 candidates)</t>
  </si>
  <si>
    <t xml:space="preserve">Third deliverable+BLE proposal</t>
  </si>
  <si>
    <t xml:space="preserve">BLE data access</t>
  </si>
  <si>
    <t xml:space="preserve">Client IT cooperation</t>
  </si>
  <si>
    <t xml:space="preserve">Data connectors</t>
  </si>
  <si>
    <t xml:space="preserve">BLE pilot signed</t>
  </si>
  <si>
    <t xml:space="preserve">Systematize delivery process</t>
  </si>
  <si>
    <t xml:space="preserve">Operator Track pilot (5 trainees)</t>
  </si>
  <si>
    <t xml:space="preserve">Process playbook + training start</t>
  </si>
  <si>
    <t xml:space="preserve">Process doesn't scale</t>
  </si>
  <si>
    <t xml:space="preserve">Simplify</t>
  </si>
  <si>
    <t xml:space="preserve">Documentation</t>
  </si>
  <si>
    <t xml:space="preserve">Repeatable process</t>
  </si>
  <si>
    <t xml:space="preserve">Quarter review + Phase 2 planning</t>
  </si>
  <si>
    <t xml:space="preserve">First operator-assisted delivery</t>
  </si>
  <si>
    <t xml:space="preserve">Q1 report + Phase 2 plan</t>
  </si>
  <si>
    <t xml:space="preserve">Targets missed</t>
  </si>
  <si>
    <t xml:space="preserve">Adjust Phase 2</t>
  </si>
  <si>
    <t xml:space="preserve">Analytics</t>
  </si>
  <si>
    <t xml:space="preserve">Revenue&gt;$15K/mo avg</t>
  </si>
  <si>
    <t xml:space="preserve">Stream</t>
  </si>
  <si>
    <t xml:space="preserve">Buyer Persona</t>
  </si>
  <si>
    <t xml:space="preserve">Price Point</t>
  </si>
  <si>
    <t xml:space="preserve">Sales Cycle(days)</t>
  </si>
  <si>
    <t xml:space="preserve">Capital to Build</t>
  </si>
  <si>
    <t xml:space="preserve">Time to First$(days)</t>
  </si>
  <si>
    <t xml:space="preserve">Recurring?</t>
  </si>
  <si>
    <t xml:space="preserve">Gross Margin%</t>
  </si>
  <si>
    <t xml:space="preserve">Strategic Leverage</t>
  </si>
  <si>
    <t xml:space="preserve">Priority Rank</t>
  </si>
  <si>
    <t xml:space="preserve">Phase</t>
  </si>
  <si>
    <t xml:space="preserve">Confidence%</t>
  </si>
  <si>
    <t xml:space="preserve">Chokepoint Intelligence Sprint</t>
  </si>
  <si>
    <t xml:space="preserve">COO/Founder mid-market</t>
  </si>
  <si>
    <t xml:space="preserve">One-time</t>
  </si>
  <si>
    <t xml:space="preserve">Framework IP+data</t>
  </si>
  <si>
    <t xml:space="preserve">Phase 1</t>
  </si>
  <si>
    <t xml:space="preserve">Consultants/Legal/Coaches</t>
  </si>
  <si>
    <t xml:space="preserve">$19-49/mo</t>
  </si>
  <si>
    <t xml:space="preserve">Yes (MRR)</t>
  </si>
  <si>
    <t xml:space="preserve">Usage data+lock-in</t>
  </si>
  <si>
    <t xml:space="preserve">CFO Prof Services/SaaS</t>
  </si>
  <si>
    <t xml:space="preserve">$20-40K+$5K/mo</t>
  </si>
  <si>
    <t xml:space="preserve">Yes (retainer)</t>
  </si>
  <si>
    <t xml:space="preserve">Data integration</t>
  </si>
  <si>
    <t xml:space="preserve">Client data access</t>
  </si>
  <si>
    <t xml:space="preserve">Phase 1-2</t>
  </si>
  <si>
    <t xml:space="preserve">Operator Track (Standard)</t>
  </si>
  <si>
    <t xml:space="preserve">Professionals/Career changers</t>
  </si>
  <si>
    <t xml:space="preserve">$1,000-1,500/person</t>
  </si>
  <si>
    <t xml:space="preserve">Cohort-based</t>
  </si>
  <si>
    <t xml:space="preserve">Talent pipeline</t>
  </si>
  <si>
    <t xml:space="preserve">First clients as proof</t>
  </si>
  <si>
    <t xml:space="preserve">Phase 2</t>
  </si>
  <si>
    <t xml:space="preserve">Operator Track (India)</t>
  </si>
  <si>
    <t xml:space="preserve">Indian professionals</t>
  </si>
  <si>
    <t xml:space="preserve">INR 75,000/person</t>
  </si>
  <si>
    <t xml:space="preserve">India pipeline</t>
  </si>
  <si>
    <t xml:space="preserve">India network</t>
  </si>
  <si>
    <t xml:space="preserve">Manufacturing OTIF Pilot</t>
  </si>
  <si>
    <t xml:space="preserve">VP Ops Manufacturing</t>
  </si>
  <si>
    <t xml:space="preserve">$95K</t>
  </si>
  <si>
    <t xml:space="preserve">Project+retainer</t>
  </si>
  <si>
    <t xml:space="preserve">Vertical authority</t>
  </si>
  <si>
    <t xml:space="preserve">Industry expertise</t>
  </si>
  <si>
    <t xml:space="preserve">Logistics Fleet Pilot</t>
  </si>
  <si>
    <t xml:space="preserve">VP Logistics</t>
  </si>
  <si>
    <t xml:space="preserve">$80K</t>
  </si>
  <si>
    <t xml:space="preserve">Professional Services Margin</t>
  </si>
  <si>
    <t xml:space="preserve">Managing Partner</t>
  </si>
  <si>
    <t xml:space="preserve">$110K</t>
  </si>
  <si>
    <t xml:space="preserve">Insurance Claims Processing</t>
  </si>
  <si>
    <t xml:space="preserve">Claims VP</t>
  </si>
  <si>
    <t xml:space="preserve">$3-7/claim</t>
  </si>
  <si>
    <t xml:space="preserve">Yes (per-claim)</t>
  </si>
  <si>
    <t xml:space="preserve">Data moat+underwriting</t>
  </si>
  <si>
    <t xml:space="preserve">Carrier relationship</t>
  </si>
  <si>
    <t xml:space="preserve">Banking Receivables Pilot</t>
  </si>
  <si>
    <t xml:space="preserve">CFO/Treasury</t>
  </si>
  <si>
    <t xml:space="preserve">$85K</t>
  </si>
  <si>
    <t xml:space="preserve">Financial data</t>
  </si>
  <si>
    <t xml:space="preserve">Banking compliance</t>
  </si>
  <si>
    <t xml:space="preserve">Governance-as-a-Service</t>
  </si>
  <si>
    <t xml:space="preserve">CISO/CTO Enterprise</t>
  </si>
  <si>
    <t xml:space="preserve">$15-25K/yr</t>
  </si>
  <si>
    <t xml:space="preserve">Yes (annual)</t>
  </si>
  <si>
    <t xml:space="preserve">Lock-in+compliance</t>
  </si>
  <si>
    <t xml:space="preserve">Governance layer built</t>
  </si>
  <si>
    <t xml:space="preserve">Phase 4</t>
  </si>
  <si>
    <t xml:space="preserve">AINE Setup Fees</t>
  </si>
  <si>
    <t xml:space="preserve">CTO/VP Eng</t>
  </si>
  <si>
    <t xml:space="preserve">$10-50K+$5-20K/mo</t>
  </si>
  <si>
    <t xml:space="preserve">Yes (monthly)</t>
  </si>
  <si>
    <t xml:space="preserve">Platform lock-in</t>
  </si>
  <si>
    <t xml:space="preserve">Full AINE runtime</t>
  </si>
  <si>
    <t xml:space="preserve">Compliance-as-a-Service</t>
  </si>
  <si>
    <t xml:space="preserve">Chief Compliance Officer</t>
  </si>
  <si>
    <t xml:space="preserve">$25-50K/yr</t>
  </si>
  <si>
    <t xml:space="preserve">Regulatory position</t>
  </si>
  <si>
    <t xml:space="preserve">Compliance engine</t>
  </si>
  <si>
    <t xml:space="preserve">Board/C-Suite</t>
  </si>
  <si>
    <t xml:space="preserve">$50-100K/engagement</t>
  </si>
  <si>
    <t xml:space="preserve">Monopoly position</t>
  </si>
  <si>
    <t xml:space="preserve">Case studies+credibility</t>
  </si>
  <si>
    <t xml:space="preserve">Risk-Tier Certification</t>
  </si>
  <si>
    <t xml:space="preserve">Enterprise Risk</t>
  </si>
  <si>
    <t xml:space="preserve">$25K/enterprise</t>
  </si>
  <si>
    <t xml:space="preserve">Certification authority</t>
  </si>
  <si>
    <t xml:space="preserve">Multiple implementations</t>
  </si>
  <si>
    <t xml:space="preserve">UniVenture IP Licensing</t>
  </si>
  <si>
    <t xml:space="preserve">Founders/Operators</t>
  </si>
  <si>
    <t xml:space="preserve">$0.10-0.50/tx</t>
  </si>
  <si>
    <t xml:space="preserve">Yes (per-tx)</t>
  </si>
  <si>
    <t xml:space="preserve">IP portfolio</t>
  </si>
  <si>
    <t xml:space="preserve">IP stacks built</t>
  </si>
  <si>
    <t xml:space="preserve">Phase 5</t>
  </si>
  <si>
    <t xml:space="preserve">ORF Protocol Services</t>
  </si>
  <si>
    <t xml:space="preserve">Enterprise/Institutional</t>
  </si>
  <si>
    <t xml:space="preserve">$100K+/yr</t>
  </si>
  <si>
    <t xml:space="preserve">GDP-scale position</t>
  </si>
  <si>
    <t xml:space="preserve">ORF kernel built</t>
  </si>
  <si>
    <t xml:space="preserve">Phase 6</t>
  </si>
  <si>
    <t xml:space="preserve">Government/Dynasty</t>
  </si>
  <si>
    <t xml:space="preserve">$500K+/yr</t>
  </si>
  <si>
    <t xml:space="preserve">Sovereign position</t>
  </si>
  <si>
    <t xml:space="preserve">Full LPI build</t>
  </si>
  <si>
    <t xml:space="preserve">Phase 7</t>
  </si>
  <si>
    <t xml:space="preserve">Underwriting Intelligence</t>
  </si>
  <si>
    <t xml:space="preserve">Reinsurers</t>
  </si>
  <si>
    <t xml:space="preserve">$100K/yr</t>
  </si>
  <si>
    <t xml:space="preserve">Data moat</t>
  </si>
  <si>
    <t xml:space="preserve">50K+ claims data</t>
  </si>
  <si>
    <t xml:space="preserve">Construction Decisions Pilot</t>
  </si>
  <si>
    <t xml:space="preserve">Project Director</t>
  </si>
  <si>
    <t xml:space="preserve">$90K</t>
  </si>
  <si>
    <t xml:space="preserve">System Name</t>
  </si>
  <si>
    <t xml:space="preserve">Entity</t>
  </si>
  <si>
    <t xml:space="preserve">Build Complexity(1-10)</t>
  </si>
  <si>
    <t xml:space="preserve">Revenue Required?</t>
  </si>
  <si>
    <t xml:space="preserve">Phase Needed</t>
  </si>
  <si>
    <t xml:space="preserve">Build Duration(weeks)</t>
  </si>
  <si>
    <t xml:space="preserve">Deferrable?</t>
  </si>
  <si>
    <t xml:space="preserve">MVP Possible?</t>
  </si>
  <si>
    <t xml:space="preserve">Priority Color</t>
  </si>
  <si>
    <t xml:space="preserve">DocuFlow Agent Runtime</t>
  </si>
  <si>
    <t xml:space="preserve">Y</t>
  </si>
  <si>
    <t xml:space="preserve">N</t>
  </si>
  <si>
    <t xml:space="preserve">GREEN</t>
  </si>
  <si>
    <t xml:space="preserve">Chokepoint Framework Engine</t>
  </si>
  <si>
    <t xml:space="preserve">Website+CRM</t>
  </si>
  <si>
    <t xml:space="preserve">Billing Leakage Reconciliation</t>
  </si>
  <si>
    <t xml:space="preserve">Basic Agent Orchestration</t>
  </si>
  <si>
    <t xml:space="preserve">Telemetry/Logging</t>
  </si>
  <si>
    <t xml:space="preserve">Operator Screening System</t>
  </si>
  <si>
    <t xml:space="preserve">Sprint Execution Engine</t>
  </si>
  <si>
    <t xml:space="preserve">YELLOW</t>
  </si>
  <si>
    <t xml:space="preserve">Knowledge-Worker Copilot</t>
  </si>
  <si>
    <t xml:space="preserve">Agent orchestration</t>
  </si>
  <si>
    <t xml:space="preserve">Governance Engine</t>
  </si>
  <si>
    <t xml:space="preserve">Phase 3-4</t>
  </si>
  <si>
    <t xml:space="preserve">Logging system</t>
  </si>
  <si>
    <t xml:space="preserve">PEP Runtime</t>
  </si>
  <si>
    <t xml:space="preserve">Agent systems</t>
  </si>
  <si>
    <t xml:space="preserve">Digital Identity System</t>
  </si>
  <si>
    <t xml:space="preserve">Compliance Engine</t>
  </si>
  <si>
    <t xml:space="preserve">Governance</t>
  </si>
  <si>
    <t xml:space="preserve">Frankmax PIAR System</t>
  </si>
  <si>
    <t xml:space="preserve">Case studies</t>
  </si>
  <si>
    <t xml:space="preserve">Capital Allocation Engine</t>
  </si>
  <si>
    <t xml:space="preserve">Revenue Validation System</t>
  </si>
  <si>
    <t xml:space="preserve">Kill &amp; Pivot Engine</t>
  </si>
  <si>
    <t xml:space="preserve">Metrics</t>
  </si>
  <si>
    <t xml:space="preserve">AINE Registry</t>
  </si>
  <si>
    <t xml:space="preserve">Identity</t>
  </si>
  <si>
    <t xml:space="preserve">RED</t>
  </si>
  <si>
    <t xml:space="preserve">Cross-AINE Risk System</t>
  </si>
  <si>
    <t xml:space="preserve">AINE registry</t>
  </si>
  <si>
    <t xml:space="preserve">Failure Contagion Firewall</t>
  </si>
  <si>
    <t xml:space="preserve">Risk system</t>
  </si>
  <si>
    <t xml:space="preserve">Insurance Pool</t>
  </si>
  <si>
    <t xml:space="preserve">Underwriting</t>
  </si>
  <si>
    <t xml:space="preserve">Inter-AINE Contracts</t>
  </si>
  <si>
    <t xml:space="preserve">ORF Kernel</t>
  </si>
  <si>
    <t xml:space="preserve">Jurisdiction Partition</t>
  </si>
  <si>
    <t xml:space="preserve">Legal</t>
  </si>
  <si>
    <t xml:space="preserve">Portfolio Lifecycle</t>
  </si>
  <si>
    <t xml:space="preserve">Capital engine</t>
  </si>
  <si>
    <t xml:space="preserve">Resource Allocation</t>
  </si>
  <si>
    <t xml:space="preserve">Constitutional Amendment System</t>
  </si>
  <si>
    <t xml:space="preserve">Phase 7+</t>
  </si>
  <si>
    <t xml:space="preserve">ORF kernel</t>
  </si>
  <si>
    <t xml:space="preserve">GRAY</t>
  </si>
  <si>
    <t xml:space="preserve">Planetary Simulation</t>
  </si>
  <si>
    <t xml:space="preserve">All systems</t>
  </si>
  <si>
    <t xml:space="preserve">Imperial Intelligence Grid</t>
  </si>
  <si>
    <t xml:space="preserve">Synthetic Economy Engine</t>
  </si>
  <si>
    <t xml:space="preserve">Machine Creativity Engine</t>
  </si>
  <si>
    <t xml:space="preserve">Theory of Artificial Civilization</t>
  </si>
  <si>
    <t xml:space="preserve">Never</t>
  </si>
  <si>
    <t xml:space="preserve">Private Military Cognition</t>
  </si>
  <si>
    <t xml:space="preserve">Ethics</t>
  </si>
  <si>
    <t xml:space="preserve">ID</t>
  </si>
  <si>
    <t xml:space="preserve">Risk Name</t>
  </si>
  <si>
    <t xml:space="preserve">Category</t>
  </si>
  <si>
    <t xml:space="preserve">Probability(1-5)</t>
  </si>
  <si>
    <t xml:space="preserve">Impact(1-5)</t>
  </si>
  <si>
    <t xml:space="preserve">Score(P×I)</t>
  </si>
  <si>
    <t xml:space="preserve">Mitigation</t>
  </si>
  <si>
    <t xml:space="preserve">Owner</t>
  </si>
  <si>
    <t xml:space="preserve">Trigger Indicator</t>
  </si>
  <si>
    <t xml:space="preserve">Phase Most Acute</t>
  </si>
  <si>
    <t xml:space="preserve">R1</t>
  </si>
  <si>
    <t xml:space="preserve">Zero revenue by Day 90</t>
  </si>
  <si>
    <t xml:space="preserve">Strategic</t>
  </si>
  <si>
    <t xml:space="preserve">Daily sales pipeline review</t>
  </si>
  <si>
    <t xml:space="preserve">Founder</t>
  </si>
  <si>
    <t xml:space="preserve">No deal closures by Week 6</t>
  </si>
  <si>
    <t xml:space="preserve">Active</t>
  </si>
  <si>
    <t xml:space="preserve">R2</t>
  </si>
  <si>
    <t xml:space="preserve">Wrong vertical choice</t>
  </si>
  <si>
    <t xml:space="preserve">Vertical pivot framework</t>
  </si>
  <si>
    <t xml:space="preserve">Vertical underperforms by Month 2</t>
  </si>
  <si>
    <t xml:space="preserve">R3</t>
  </si>
  <si>
    <t xml:space="preserve">Solo founder burnout</t>
  </si>
  <si>
    <t xml:space="preserve">Operational</t>
  </si>
  <si>
    <t xml:space="preserve">Operator hiring by Month 2</t>
  </si>
  <si>
    <t xml:space="preserve">Founder &gt;60hr/week consistently</t>
  </si>
  <si>
    <t xml:space="preserve">R4</t>
  </si>
  <si>
    <t xml:space="preserve">No product-market fit</t>
  </si>
  <si>
    <t xml:space="preserve">Customer discovery + iteration</t>
  </si>
  <si>
    <t xml:space="preserve">Churn &gt;20% or NPS &lt;30</t>
  </si>
  <si>
    <t xml:space="preserve">R5</t>
  </si>
  <si>
    <t xml:space="preserve">AI model dependency</t>
  </si>
  <si>
    <t xml:space="preserve">Technical</t>
  </si>
  <si>
    <t xml:space="preserve">Multi-model orchestration layer</t>
  </si>
  <si>
    <t xml:space="preserve">Tech Lead</t>
  </si>
  <si>
    <t xml:space="preserve">Model provider outage &gt;2hrs</t>
  </si>
  <si>
    <t xml:space="preserve">Phase 2+</t>
  </si>
  <si>
    <t xml:space="preserve">Monitoring</t>
  </si>
  <si>
    <t xml:space="preserve">R6</t>
  </si>
  <si>
    <t xml:space="preserve">Enterprise sales cycle too long</t>
  </si>
  <si>
    <t xml:space="preserve">Financial</t>
  </si>
  <si>
    <t xml:space="preserve">Focus on mid-market first</t>
  </si>
  <si>
    <t xml:space="preserve">Sales Lead</t>
  </si>
  <si>
    <t xml:space="preserve">Sales cycle &gt;90 days</t>
  </si>
  <si>
    <t xml:space="preserve">R7</t>
  </si>
  <si>
    <t xml:space="preserve">Operator quality variance</t>
  </si>
  <si>
    <t xml:space="preserve">Screening + certification system</t>
  </si>
  <si>
    <t xml:space="preserve">Ops Lead</t>
  </si>
  <si>
    <t xml:space="preserve">Operator rework rate &gt;10%</t>
  </si>
  <si>
    <t xml:space="preserve">R8</t>
  </si>
  <si>
    <t xml:space="preserve">Capital exhaustion</t>
  </si>
  <si>
    <t xml:space="preserve">Cash flow dashboard + runway planning</t>
  </si>
  <si>
    <t xml:space="preserve">Finance</t>
  </si>
  <si>
    <t xml:space="preserve">Runway &lt;60 days</t>
  </si>
  <si>
    <t xml:space="preserve">Phase 1-3</t>
  </si>
  <si>
    <t xml:space="preserve">R9</t>
  </si>
  <si>
    <t xml:space="preserve">Regulatory</t>
  </si>
  <si>
    <t xml:space="preserve">Regulatory engagement + compliance layer</t>
  </si>
  <si>
    <t xml:space="preserve">Regulator inquiry received</t>
  </si>
  <si>
    <t xml:space="preserve">R10</t>
  </si>
  <si>
    <t xml:space="preserve">Competitive saturation</t>
  </si>
  <si>
    <t xml:space="preserve">Defensibility layer + IP moat</t>
  </si>
  <si>
    <t xml:space="preserve">3+ direct competitors launched</t>
  </si>
  <si>
    <t xml:space="preserve">R11</t>
  </si>
  <si>
    <t xml:space="preserve">Data liability</t>
  </si>
  <si>
    <t xml:space="preserve">Data governance + insurance layer</t>
  </si>
  <si>
    <t xml:space="preserve">Compliance</t>
  </si>
  <si>
    <t xml:space="preserve">Data breach or audit failure</t>
  </si>
  <si>
    <t xml:space="preserve">R12</t>
  </si>
  <si>
    <t xml:space="preserve">Coordination collapse multi-agent</t>
  </si>
  <si>
    <t xml:space="preserve">Orchestration framework testing</t>
  </si>
  <si>
    <t xml:space="preserve">Agent task failures &gt;5%</t>
  </si>
  <si>
    <t xml:space="preserve">R13</t>
  </si>
  <si>
    <t xml:space="preserve">Kill discipline failure</t>
  </si>
  <si>
    <t xml:space="preserve">Kill protocol enforcement + metrics</t>
  </si>
  <si>
    <t xml:space="preserve">Ventures running &gt;90 days past exit</t>
  </si>
  <si>
    <t xml:space="preserve">Phase 1+</t>
  </si>
  <si>
    <t xml:space="preserve">R14</t>
  </si>
  <si>
    <t xml:space="preserve">Architecture seduction</t>
  </si>
  <si>
    <t xml:space="preserve">Founder discipline + PCI enforcement</t>
  </si>
  <si>
    <t xml:space="preserve">Building unrequested features</t>
  </si>
  <si>
    <t xml:space="preserve">R15</t>
  </si>
  <si>
    <t xml:space="preserve">Governance erosion under pressure</t>
  </si>
  <si>
    <t xml:space="preserve">Written governance standards</t>
  </si>
  <si>
    <t xml:space="preserve">Exception approvals &gt;1/week</t>
  </si>
  <si>
    <t xml:space="preserve">R16</t>
  </si>
  <si>
    <t xml:space="preserve">Promotion inflation</t>
  </si>
  <si>
    <t xml:space="preserve">Metrics-based promotion criteria</t>
  </si>
  <si>
    <t xml:space="preserve">Operator tenure &lt;6mo at promotion</t>
  </si>
  <si>
    <t xml:space="preserve">R17</t>
  </si>
  <si>
    <t xml:space="preserve">Over-engineering before market fit</t>
  </si>
  <si>
    <t xml:space="preserve">MVP-first discipline</t>
  </si>
  <si>
    <t xml:space="preserve">Build cycle &gt;4 weeks without revenue</t>
  </si>
  <si>
    <t xml:space="preserve">R18</t>
  </si>
  <si>
    <t xml:space="preserve">Technology obsolescence</t>
  </si>
  <si>
    <t xml:space="preserve">Modular architecture + provider-agnostic</t>
  </si>
  <si>
    <t xml:space="preserve">New model release &gt;2x capabilities</t>
  </si>
  <si>
    <t xml:space="preserve">R19</t>
  </si>
  <si>
    <t xml:space="preserve">Margin collapse</t>
  </si>
  <si>
    <t xml:space="preserve">Margin floor enforcement</t>
  </si>
  <si>
    <t xml:space="preserve">Gross margin &lt;50% on core products</t>
  </si>
  <si>
    <t xml:space="preserve">R20</t>
  </si>
  <si>
    <t xml:space="preserve">Founder ego override of PCI</t>
  </si>
  <si>
    <t xml:space="preserve">External governance board</t>
  </si>
  <si>
    <t xml:space="preserve">Board</t>
  </si>
  <si>
    <t xml:space="preserve">PCI exception bypassed</t>
  </si>
  <si>
    <t xml:space="preserve">EXECUTION BLUEPRINT - FINANCIAL MODEL</t>
  </si>
  <si>
    <t xml:space="preserve">Jan Y1</t>
  </si>
  <si>
    <t xml:space="preserve">Feb Y1</t>
  </si>
  <si>
    <t xml:space="preserve">Mar Y1</t>
  </si>
  <si>
    <t xml:space="preserve">Apr Y1</t>
  </si>
  <si>
    <t xml:space="preserve">May Y1</t>
  </si>
  <si>
    <t xml:space="preserve">Jun Y1</t>
  </si>
  <si>
    <t xml:space="preserve">Jul Y1</t>
  </si>
  <si>
    <t xml:space="preserve">Aug Y1</t>
  </si>
  <si>
    <t xml:space="preserve">Sep Y1</t>
  </si>
  <si>
    <t xml:space="preserve">Oct Y1</t>
  </si>
  <si>
    <t xml:space="preserve">Nov Y1</t>
  </si>
  <si>
    <t xml:space="preserve">Dec Y1</t>
  </si>
  <si>
    <t xml:space="preserve">REVENUE</t>
  </si>
  <si>
    <t xml:space="preserve">DocuFlow MRR</t>
  </si>
  <si>
    <t xml:space="preserve">Chokepoint Sprints</t>
  </si>
  <si>
    <t xml:space="preserve">Billing Leakage</t>
  </si>
  <si>
    <t xml:space="preserve">Operator Track</t>
  </si>
  <si>
    <t xml:space="preserve">Insurance Claims</t>
  </si>
  <si>
    <t xml:space="preserve">Market Wedge Pilots</t>
  </si>
  <si>
    <t xml:space="preserve">TOTAL REVENUE</t>
  </si>
  <si>
    <t xml:space="preserve">Tools &amp; Infrastructure</t>
  </si>
  <si>
    <t xml:space="preserve">Cloud Compute</t>
  </si>
  <si>
    <t xml:space="preserve">Marketing</t>
  </si>
  <si>
    <t xml:space="preserve">Contractor/Operator Comp</t>
  </si>
  <si>
    <t xml:space="preserve">Legal/Compliance</t>
  </si>
  <si>
    <t xml:space="preserve">Travel/Meetings</t>
  </si>
  <si>
    <t xml:space="preserve">TOTAL COSTS</t>
  </si>
  <si>
    <t xml:space="preserve">GROSS PROFIT</t>
  </si>
  <si>
    <t xml:space="preserve">Gross Margin %</t>
  </si>
  <si>
    <t xml:space="preserve">CUMULATIVE CASH</t>
  </si>
  <si>
    <t xml:space="preserve">ASSUMPTIONS (Blue = Input Cells)</t>
  </si>
  <si>
    <t xml:space="preserve">DocuFlow growth rate/month</t>
  </si>
  <si>
    <t xml:space="preserve">Chokepoint deal size avg</t>
  </si>
  <si>
    <t xml:space="preserve">Billing Leakage deal size</t>
  </si>
  <si>
    <t xml:space="preserve">Operator Track cohort size</t>
  </si>
  <si>
    <t xml:space="preserve">Insurance claims per month (starting Month 7)</t>
  </si>
  <si>
    <t xml:space="preserve">KPI Name</t>
  </si>
  <si>
    <t xml:space="preserve">Target (Monthly)</t>
  </si>
  <si>
    <t xml:space="preserve">Week 1-4 Actuals</t>
  </si>
  <si>
    <t xml:space="preserve">Month Total</t>
  </si>
  <si>
    <t xml:space="preserve">vs Target</t>
  </si>
  <si>
    <t xml:space="preserve">Revenue</t>
  </si>
  <si>
    <t xml:space="preserve">New Customers</t>
  </si>
  <si>
    <t xml:space="preserve">Discovery Conversations</t>
  </si>
  <si>
    <t xml:space="preserve">Proposals Sent</t>
  </si>
  <si>
    <t xml:space="preserve">Deals Closed</t>
  </si>
  <si>
    <t xml:space="preserve">DocuFlow Users</t>
  </si>
  <si>
    <t xml:space="preserve">Operator Pipeline</t>
  </si>
  <si>
    <t xml:space="preserve">Agent Tasks Completed</t>
  </si>
  <si>
    <t xml:space="preserve">Client Retention %</t>
  </si>
  <si>
    <t xml:space="preserve">Cash Position</t>
  </si>
  <si>
    <t xml:space="preserve">Burn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</si>
</sst>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C0C0C0"/>
        <bgColor rgb="FFC6E0B4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  <fill>
      <patternFill patternType="solid">
        <fgColor rgb="FFC6E0B4"/>
        <bgColor rgb="FFD9E1F2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25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2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</row>
    <row r="3" customFormat="false" ht="15" hidden="false" customHeight="tru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4" t="s">
        <v>10</v>
      </c>
      <c r="F3" s="3" t="s">
        <v>16</v>
      </c>
    </row>
    <row r="4" customFormat="false" ht="15" hidden="false" customHeight="true" outlineLevel="0" collapsed="false">
      <c r="A4" s="3" t="s">
        <v>17</v>
      </c>
      <c r="B4" s="3" t="s">
        <v>13</v>
      </c>
      <c r="C4" s="3" t="s">
        <v>18</v>
      </c>
      <c r="D4" s="3" t="s">
        <v>19</v>
      </c>
      <c r="E4" s="4" t="s">
        <v>10</v>
      </c>
      <c r="F4" s="3" t="s">
        <v>20</v>
      </c>
    </row>
    <row r="5" customFormat="false" ht="15" hidden="false" customHeight="true" outlineLevel="0" collapsed="false">
      <c r="A5" s="3" t="s">
        <v>21</v>
      </c>
      <c r="B5" s="3" t="s">
        <v>13</v>
      </c>
      <c r="C5" s="3" t="s">
        <v>22</v>
      </c>
      <c r="D5" s="3" t="s">
        <v>23</v>
      </c>
      <c r="E5" s="5" t="s">
        <v>24</v>
      </c>
      <c r="F5" s="3" t="s">
        <v>25</v>
      </c>
    </row>
    <row r="6" customFormat="false" ht="15" hidden="false" customHeight="true" outlineLevel="0" collapsed="false">
      <c r="A6" s="3" t="s">
        <v>26</v>
      </c>
      <c r="B6" s="3" t="s">
        <v>13</v>
      </c>
      <c r="C6" s="3" t="s">
        <v>27</v>
      </c>
      <c r="D6" s="3" t="s">
        <v>28</v>
      </c>
      <c r="E6" s="4" t="s">
        <v>10</v>
      </c>
      <c r="F6" s="3" t="s">
        <v>29</v>
      </c>
    </row>
    <row r="7" customFormat="false" ht="15" hidden="false" customHeight="true" outlineLevel="0" collapsed="false">
      <c r="A7" s="3" t="s">
        <v>30</v>
      </c>
      <c r="B7" s="3" t="s">
        <v>31</v>
      </c>
      <c r="C7" s="3" t="s">
        <v>32</v>
      </c>
      <c r="D7" s="3" t="s">
        <v>33</v>
      </c>
      <c r="E7" s="5" t="s">
        <v>24</v>
      </c>
      <c r="F7" s="3" t="s">
        <v>34</v>
      </c>
    </row>
    <row r="8" customFormat="false" ht="15" hidden="false" customHeight="true" outlineLevel="0" collapsed="false">
      <c r="A8" s="3" t="s">
        <v>35</v>
      </c>
      <c r="B8" s="3" t="s">
        <v>36</v>
      </c>
      <c r="C8" s="3" t="s">
        <v>37</v>
      </c>
      <c r="D8" s="3" t="s">
        <v>38</v>
      </c>
      <c r="E8" s="5" t="s">
        <v>24</v>
      </c>
      <c r="F8" s="3" t="s">
        <v>39</v>
      </c>
    </row>
    <row r="9" customFormat="false" ht="15" hidden="false" customHeight="true" outlineLevel="0" collapsed="false">
      <c r="A9" s="3" t="s">
        <v>40</v>
      </c>
      <c r="B9" s="3" t="s">
        <v>41</v>
      </c>
      <c r="C9" s="3" t="s">
        <v>42</v>
      </c>
      <c r="D9" s="3" t="s">
        <v>43</v>
      </c>
      <c r="E9" s="6" t="s">
        <v>44</v>
      </c>
      <c r="F9" s="3" t="s">
        <v>45</v>
      </c>
    </row>
    <row r="10" customFormat="false" ht="15" hidden="false" customHeight="true" outlineLevel="0" collapsed="false">
      <c r="A10" s="3" t="s">
        <v>46</v>
      </c>
      <c r="B10" s="3" t="s">
        <v>47</v>
      </c>
      <c r="C10" s="3" t="s">
        <v>48</v>
      </c>
      <c r="D10" s="3" t="s">
        <v>38</v>
      </c>
      <c r="E10" s="7" t="s">
        <v>49</v>
      </c>
      <c r="F10" s="3" t="s">
        <v>50</v>
      </c>
    </row>
    <row r="11" customFormat="false" ht="15" hidden="false" customHeight="true" outlineLevel="0" collapsed="false">
      <c r="A11" s="3" t="s">
        <v>51</v>
      </c>
      <c r="B11" s="3" t="s">
        <v>52</v>
      </c>
      <c r="C11" s="3" t="s">
        <v>53</v>
      </c>
      <c r="D11" s="3" t="s">
        <v>54</v>
      </c>
      <c r="E11" s="5" t="s">
        <v>24</v>
      </c>
      <c r="F11" s="3" t="s">
        <v>55</v>
      </c>
    </row>
    <row r="12" customFormat="false" ht="15" hidden="false" customHeight="true" outlineLevel="0" collapsed="false">
      <c r="A12" s="3" t="s">
        <v>56</v>
      </c>
      <c r="B12" s="3" t="s">
        <v>57</v>
      </c>
      <c r="C12" s="3" t="s">
        <v>58</v>
      </c>
      <c r="D12" s="3" t="s">
        <v>59</v>
      </c>
      <c r="E12" s="5" t="s">
        <v>24</v>
      </c>
      <c r="F12" s="3" t="s">
        <v>60</v>
      </c>
    </row>
    <row r="13" customFormat="false" ht="15" hidden="false" customHeight="true" outlineLevel="0" collapsed="false">
      <c r="A13" s="3" t="s">
        <v>61</v>
      </c>
      <c r="B13" s="3" t="s">
        <v>62</v>
      </c>
      <c r="C13" s="3" t="s">
        <v>63</v>
      </c>
      <c r="D13" s="3" t="s">
        <v>64</v>
      </c>
      <c r="E13" s="6" t="s">
        <v>44</v>
      </c>
      <c r="F13" s="3" t="s">
        <v>65</v>
      </c>
    </row>
    <row r="14" customFormat="false" ht="15" hidden="false" customHeight="true" outlineLevel="0" collapsed="false">
      <c r="A14" s="3" t="s">
        <v>66</v>
      </c>
      <c r="B14" s="3" t="s">
        <v>67</v>
      </c>
      <c r="C14" s="3" t="s">
        <v>68</v>
      </c>
      <c r="D14" s="3" t="s">
        <v>69</v>
      </c>
      <c r="E14" s="4" t="s">
        <v>10</v>
      </c>
      <c r="F14" s="3" t="s">
        <v>70</v>
      </c>
    </row>
    <row r="15" customFormat="false" ht="15" hidden="false" customHeight="true" outlineLevel="0" collapsed="false">
      <c r="A15" s="3" t="s">
        <v>71</v>
      </c>
      <c r="B15" s="3" t="s">
        <v>7</v>
      </c>
      <c r="C15" s="3" t="s">
        <v>72</v>
      </c>
      <c r="D15" s="3" t="s">
        <v>73</v>
      </c>
      <c r="E15" s="5" t="s">
        <v>24</v>
      </c>
      <c r="F15" s="3" t="s">
        <v>74</v>
      </c>
    </row>
    <row r="16" customFormat="false" ht="15" hidden="false" customHeight="true" outlineLevel="0" collapsed="false">
      <c r="A16" s="3" t="s">
        <v>75</v>
      </c>
      <c r="B16" s="3" t="s">
        <v>76</v>
      </c>
      <c r="C16" s="3" t="s">
        <v>77</v>
      </c>
      <c r="D16" s="3" t="s">
        <v>78</v>
      </c>
      <c r="E16" s="4" t="s">
        <v>10</v>
      </c>
      <c r="F16" s="3" t="s">
        <v>79</v>
      </c>
    </row>
    <row r="17" customFormat="false" ht="15" hidden="false" customHeight="true" outlineLevel="0" collapsed="false">
      <c r="A17" s="3" t="s">
        <v>80</v>
      </c>
      <c r="B17" s="3" t="s">
        <v>52</v>
      </c>
      <c r="C17" s="3" t="s">
        <v>81</v>
      </c>
      <c r="D17" s="3" t="s">
        <v>82</v>
      </c>
      <c r="E17" s="6" t="s">
        <v>44</v>
      </c>
      <c r="F17" s="3" t="s">
        <v>83</v>
      </c>
    </row>
    <row r="18" customFormat="false" ht="15" hidden="false" customHeight="true" outlineLevel="0" collapsed="false">
      <c r="A18" s="3" t="s">
        <v>84</v>
      </c>
      <c r="B18" s="3" t="s">
        <v>13</v>
      </c>
      <c r="C18" s="3" t="s">
        <v>85</v>
      </c>
      <c r="D18" s="3" t="s">
        <v>86</v>
      </c>
      <c r="E18" s="5" t="s">
        <v>24</v>
      </c>
      <c r="F18" s="3" t="s">
        <v>87</v>
      </c>
    </row>
    <row r="19" customFormat="false" ht="15" hidden="false" customHeight="true" outlineLevel="0" collapsed="false">
      <c r="A19" s="3" t="s">
        <v>88</v>
      </c>
      <c r="B19" s="3" t="s">
        <v>89</v>
      </c>
      <c r="C19" s="3" t="s">
        <v>90</v>
      </c>
      <c r="D19" s="3" t="s">
        <v>91</v>
      </c>
      <c r="E19" s="5" t="s">
        <v>24</v>
      </c>
      <c r="F19" s="3" t="s">
        <v>92</v>
      </c>
    </row>
    <row r="20" customFormat="false" ht="15" hidden="false" customHeight="true" outlineLevel="0" collapsed="false">
      <c r="A20" s="3" t="s">
        <v>93</v>
      </c>
      <c r="B20" s="3" t="s">
        <v>94</v>
      </c>
      <c r="C20" s="3" t="s">
        <v>95</v>
      </c>
      <c r="D20" s="3" t="s">
        <v>96</v>
      </c>
      <c r="E20" s="5" t="s">
        <v>24</v>
      </c>
      <c r="F20" s="3" t="s">
        <v>92</v>
      </c>
    </row>
    <row r="21" customFormat="false" ht="15" hidden="false" customHeight="true" outlineLevel="0" collapsed="false">
      <c r="A21" s="3" t="s">
        <v>97</v>
      </c>
      <c r="B21" s="3" t="s">
        <v>98</v>
      </c>
      <c r="C21" s="3" t="s">
        <v>99</v>
      </c>
      <c r="D21" s="3" t="s">
        <v>100</v>
      </c>
      <c r="E21" s="5" t="s">
        <v>24</v>
      </c>
      <c r="F21" s="3" t="s">
        <v>101</v>
      </c>
    </row>
    <row r="22" customFormat="false" ht="15" hidden="false" customHeight="true" outlineLevel="0" collapsed="false">
      <c r="A22" s="3" t="s">
        <v>102</v>
      </c>
      <c r="B22" s="3" t="s">
        <v>36</v>
      </c>
      <c r="C22" s="3" t="s">
        <v>103</v>
      </c>
      <c r="D22" s="3" t="s">
        <v>104</v>
      </c>
      <c r="E22" s="6" t="s">
        <v>44</v>
      </c>
      <c r="F22" s="3" t="s">
        <v>105</v>
      </c>
    </row>
    <row r="23" customFormat="false" ht="15" hidden="false" customHeight="true" outlineLevel="0" collapsed="false">
      <c r="A23" s="3" t="s">
        <v>106</v>
      </c>
      <c r="B23" s="3" t="s">
        <v>107</v>
      </c>
      <c r="C23" s="3" t="s">
        <v>108</v>
      </c>
      <c r="D23" s="3" t="s">
        <v>109</v>
      </c>
      <c r="E23" s="5" t="s">
        <v>24</v>
      </c>
      <c r="F23" s="3" t="s">
        <v>110</v>
      </c>
    </row>
    <row r="24" customFormat="false" ht="15" hidden="false" customHeight="true" outlineLevel="0" collapsed="false">
      <c r="A24" s="3" t="s">
        <v>111</v>
      </c>
      <c r="B24" s="3" t="s">
        <v>107</v>
      </c>
      <c r="C24" s="3" t="s">
        <v>112</v>
      </c>
      <c r="D24" s="3" t="s">
        <v>89</v>
      </c>
      <c r="E24" s="5" t="s">
        <v>24</v>
      </c>
      <c r="F24" s="3" t="s">
        <v>113</v>
      </c>
    </row>
    <row r="25" customFormat="false" ht="15" hidden="false" customHeight="true" outlineLevel="0" collapsed="false">
      <c r="A25" s="3" t="s">
        <v>114</v>
      </c>
      <c r="B25" s="3" t="s">
        <v>41</v>
      </c>
      <c r="C25" s="3" t="s">
        <v>115</v>
      </c>
      <c r="D25" s="3" t="s">
        <v>104</v>
      </c>
      <c r="E25" s="4" t="s">
        <v>10</v>
      </c>
      <c r="F25" s="3" t="s">
        <v>116</v>
      </c>
    </row>
    <row r="26" customFormat="false" ht="15" hidden="false" customHeight="true" outlineLevel="0" collapsed="false">
      <c r="A26" s="3" t="s">
        <v>117</v>
      </c>
      <c r="B26" s="3" t="s">
        <v>41</v>
      </c>
      <c r="C26" s="3" t="s">
        <v>118</v>
      </c>
      <c r="D26" s="3" t="s">
        <v>104</v>
      </c>
      <c r="E26" s="5" t="s">
        <v>24</v>
      </c>
      <c r="F26" s="3" t="s">
        <v>119</v>
      </c>
    </row>
    <row r="27" customFormat="false" ht="15" hidden="false" customHeight="true" outlineLevel="0" collapsed="false">
      <c r="A27" s="3" t="s">
        <v>120</v>
      </c>
      <c r="B27" s="3" t="s">
        <v>121</v>
      </c>
      <c r="C27" s="3" t="s">
        <v>122</v>
      </c>
      <c r="D27" s="3" t="s">
        <v>123</v>
      </c>
      <c r="E27" s="4" t="s">
        <v>10</v>
      </c>
      <c r="F27" s="3" t="s">
        <v>92</v>
      </c>
    </row>
    <row r="28" customFormat="false" ht="15" hidden="false" customHeight="true" outlineLevel="0" collapsed="false">
      <c r="A28" s="3" t="s">
        <v>124</v>
      </c>
      <c r="B28" s="3" t="s">
        <v>36</v>
      </c>
      <c r="C28" s="3" t="s">
        <v>125</v>
      </c>
      <c r="D28" s="3" t="s">
        <v>104</v>
      </c>
      <c r="E28" s="6" t="s">
        <v>44</v>
      </c>
      <c r="F28" s="3" t="s">
        <v>126</v>
      </c>
    </row>
    <row r="29" customFormat="false" ht="15" hidden="false" customHeight="true" outlineLevel="0" collapsed="false">
      <c r="A29" s="3" t="s">
        <v>127</v>
      </c>
      <c r="B29" s="3" t="s">
        <v>107</v>
      </c>
      <c r="C29" s="3" t="s">
        <v>128</v>
      </c>
      <c r="D29" s="3" t="s">
        <v>129</v>
      </c>
      <c r="E29" s="5" t="s">
        <v>24</v>
      </c>
      <c r="F29" s="3" t="s">
        <v>130</v>
      </c>
    </row>
    <row r="30" customFormat="false" ht="15" hidden="false" customHeight="true" outlineLevel="0" collapsed="false">
      <c r="A30" s="3" t="s">
        <v>131</v>
      </c>
      <c r="B30" s="3" t="s">
        <v>36</v>
      </c>
      <c r="C30" s="3" t="s">
        <v>132</v>
      </c>
      <c r="D30" s="3" t="s">
        <v>98</v>
      </c>
      <c r="E30" s="6" t="s">
        <v>44</v>
      </c>
      <c r="F30" s="3" t="s">
        <v>110</v>
      </c>
    </row>
    <row r="31" customFormat="false" ht="15" hidden="false" customHeight="true" outlineLevel="0" collapsed="false">
      <c r="A31" s="3" t="s">
        <v>133</v>
      </c>
      <c r="B31" s="3" t="s">
        <v>41</v>
      </c>
      <c r="C31" s="3" t="s">
        <v>134</v>
      </c>
      <c r="D31" s="3" t="s">
        <v>104</v>
      </c>
      <c r="E31" s="7" t="s">
        <v>49</v>
      </c>
      <c r="F31" s="3" t="s">
        <v>135</v>
      </c>
    </row>
    <row r="32" customFormat="false" ht="15" hidden="false" customHeight="true" outlineLevel="0" collapsed="false">
      <c r="A32" s="3" t="s">
        <v>136</v>
      </c>
      <c r="B32" s="3" t="s">
        <v>47</v>
      </c>
      <c r="C32" s="3" t="s">
        <v>137</v>
      </c>
      <c r="D32" s="3" t="s">
        <v>138</v>
      </c>
      <c r="E32" s="4" t="s">
        <v>10</v>
      </c>
      <c r="F32" s="3" t="s">
        <v>139</v>
      </c>
    </row>
    <row r="33" customFormat="false" ht="15" hidden="false" customHeight="true" outlineLevel="0" collapsed="false">
      <c r="A33" s="3" t="s">
        <v>140</v>
      </c>
      <c r="B33" s="3" t="s">
        <v>107</v>
      </c>
      <c r="C33" s="3" t="s">
        <v>141</v>
      </c>
      <c r="D33" s="3" t="s">
        <v>138</v>
      </c>
      <c r="E33" s="6" t="s">
        <v>44</v>
      </c>
      <c r="F33" s="3" t="s">
        <v>142</v>
      </c>
    </row>
    <row r="34" customFormat="false" ht="15" hidden="false" customHeight="true" outlineLevel="0" collapsed="false">
      <c r="A34" s="3" t="s">
        <v>143</v>
      </c>
      <c r="B34" s="3" t="s">
        <v>36</v>
      </c>
      <c r="C34" s="3" t="s">
        <v>144</v>
      </c>
      <c r="D34" s="3" t="s">
        <v>138</v>
      </c>
      <c r="E34" s="5" t="s">
        <v>24</v>
      </c>
      <c r="F34" s="3" t="s">
        <v>139</v>
      </c>
    </row>
    <row r="35" customFormat="false" ht="15" hidden="false" customHeight="true" outlineLevel="0" collapsed="false">
      <c r="A35" s="3" t="s">
        <v>145</v>
      </c>
      <c r="B35" s="3" t="s">
        <v>41</v>
      </c>
      <c r="C35" s="3" t="s">
        <v>146</v>
      </c>
      <c r="D35" s="3" t="s">
        <v>54</v>
      </c>
      <c r="E35" s="7" t="s">
        <v>49</v>
      </c>
      <c r="F35" s="3" t="s">
        <v>45</v>
      </c>
    </row>
    <row r="36" customFormat="false" ht="15" hidden="false" customHeight="true" outlineLevel="0" collapsed="false">
      <c r="A36" s="3" t="s">
        <v>147</v>
      </c>
      <c r="B36" s="3" t="s">
        <v>52</v>
      </c>
      <c r="C36" s="3" t="s">
        <v>148</v>
      </c>
      <c r="D36" s="3" t="s">
        <v>149</v>
      </c>
      <c r="E36" s="5" t="s">
        <v>24</v>
      </c>
      <c r="F36" s="3" t="s">
        <v>150</v>
      </c>
    </row>
    <row r="37" customFormat="false" ht="15" hidden="false" customHeight="true" outlineLevel="0" collapsed="false">
      <c r="A37" s="3" t="s">
        <v>151</v>
      </c>
      <c r="B37" s="3" t="s">
        <v>52</v>
      </c>
      <c r="C37" s="3" t="s">
        <v>152</v>
      </c>
      <c r="D37" s="3" t="s">
        <v>153</v>
      </c>
      <c r="E37" s="6" t="s">
        <v>44</v>
      </c>
      <c r="F37" s="3" t="s">
        <v>130</v>
      </c>
    </row>
    <row r="38" customFormat="false" ht="15" hidden="false" customHeight="true" outlineLevel="0" collapsed="false">
      <c r="A38" s="3" t="s">
        <v>154</v>
      </c>
      <c r="B38" s="3" t="s">
        <v>155</v>
      </c>
      <c r="C38" s="3" t="s">
        <v>156</v>
      </c>
      <c r="D38" s="3" t="s">
        <v>104</v>
      </c>
      <c r="E38" s="7" t="s">
        <v>49</v>
      </c>
      <c r="F38" s="3" t="s">
        <v>83</v>
      </c>
    </row>
    <row r="39" customFormat="false" ht="15" hidden="false" customHeight="true" outlineLevel="0" collapsed="false">
      <c r="A39" s="3" t="s">
        <v>157</v>
      </c>
      <c r="B39" s="3" t="s">
        <v>158</v>
      </c>
      <c r="C39" s="3" t="s">
        <v>159</v>
      </c>
      <c r="D39" s="3" t="s">
        <v>104</v>
      </c>
      <c r="E39" s="7" t="s">
        <v>49</v>
      </c>
      <c r="F39" s="3" t="s">
        <v>45</v>
      </c>
    </row>
    <row r="40" customFormat="false" ht="15" hidden="false" customHeight="true" outlineLevel="0" collapsed="false">
      <c r="A40" s="3" t="s">
        <v>160</v>
      </c>
      <c r="B40" s="3" t="s">
        <v>161</v>
      </c>
      <c r="C40" s="3" t="s">
        <v>162</v>
      </c>
      <c r="D40" s="3" t="s">
        <v>163</v>
      </c>
      <c r="E40" s="5" t="s">
        <v>24</v>
      </c>
      <c r="F40" s="3" t="s">
        <v>164</v>
      </c>
    </row>
    <row r="41" customFormat="false" ht="15" hidden="false" customHeight="true" outlineLevel="0" collapsed="false">
      <c r="A41" s="3" t="s">
        <v>165</v>
      </c>
      <c r="B41" s="3" t="s">
        <v>36</v>
      </c>
      <c r="C41" s="3" t="s">
        <v>166</v>
      </c>
      <c r="D41" s="3" t="s">
        <v>98</v>
      </c>
      <c r="E41" s="6" t="s">
        <v>44</v>
      </c>
      <c r="F41" s="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8" min="4" style="1" width="18"/>
    <col collapsed="false" customWidth="true" hidden="false" outlineLevel="0" max="9" min="9" style="1" width="35"/>
    <col collapsed="false" customWidth="true" hidden="false" outlineLevel="0" max="10" min="10" style="1" width="25"/>
    <col collapsed="false" customWidth="true" hidden="false" outlineLevel="0" max="11" min="11" style="1" width="15"/>
    <col collapsed="false" customWidth="true" hidden="false" outlineLevel="0" max="13" min="12" style="1" width="20"/>
    <col collapsed="false" customWidth="true" hidden="false" outlineLevel="0" max="14" min="14" style="1" width="12"/>
  </cols>
  <sheetData>
    <row r="1" customFormat="false" ht="39.75" hidden="false" customHeight="true" outlineLevel="0" collapsed="false">
      <c r="A1" s="2" t="s">
        <v>167</v>
      </c>
      <c r="B1" s="2" t="s">
        <v>168</v>
      </c>
      <c r="C1" s="2" t="s">
        <v>169</v>
      </c>
      <c r="D1" s="2" t="s">
        <v>170</v>
      </c>
      <c r="E1" s="2" t="s">
        <v>171</v>
      </c>
      <c r="F1" s="2" t="s">
        <v>172</v>
      </c>
      <c r="G1" s="2" t="s">
        <v>173</v>
      </c>
      <c r="H1" s="2" t="s">
        <v>174</v>
      </c>
      <c r="I1" s="2" t="s">
        <v>175</v>
      </c>
      <c r="J1" s="2" t="s">
        <v>176</v>
      </c>
      <c r="K1" s="2" t="s">
        <v>177</v>
      </c>
      <c r="L1" s="2" t="s">
        <v>178</v>
      </c>
      <c r="M1" s="2" t="s">
        <v>179</v>
      </c>
      <c r="N1" s="2" t="s">
        <v>180</v>
      </c>
    </row>
    <row r="2" customFormat="false" ht="23.25" hidden="false" customHeight="true" outlineLevel="0" collapsed="false">
      <c r="A2" s="3" t="n">
        <v>1</v>
      </c>
      <c r="B2" s="3" t="s">
        <v>181</v>
      </c>
      <c r="C2" s="3" t="n">
        <v>3</v>
      </c>
      <c r="D2" s="3" t="s">
        <v>52</v>
      </c>
      <c r="E2" s="3" t="s">
        <v>182</v>
      </c>
      <c r="F2" s="3" t="s">
        <v>183</v>
      </c>
      <c r="G2" s="3" t="s">
        <v>184</v>
      </c>
      <c r="H2" s="3" t="s">
        <v>184</v>
      </c>
      <c r="I2" s="3" t="s">
        <v>185</v>
      </c>
      <c r="J2" s="3" t="s">
        <v>186</v>
      </c>
      <c r="K2" s="3" t="s">
        <v>7</v>
      </c>
      <c r="L2" s="3" t="s">
        <v>187</v>
      </c>
      <c r="M2" s="3" t="s">
        <v>52</v>
      </c>
      <c r="N2" s="3" t="n">
        <v>70</v>
      </c>
    </row>
    <row r="3" customFormat="false" ht="23.25" hidden="false" customHeight="true" outlineLevel="0" collapsed="false">
      <c r="A3" s="3" t="n">
        <v>2</v>
      </c>
      <c r="B3" s="3" t="s">
        <v>188</v>
      </c>
      <c r="C3" s="3" t="n">
        <v>3</v>
      </c>
      <c r="D3" s="3" t="s">
        <v>189</v>
      </c>
      <c r="E3" s="3" t="s">
        <v>190</v>
      </c>
      <c r="F3" s="3" t="s">
        <v>191</v>
      </c>
      <c r="G3" s="3" t="s">
        <v>192</v>
      </c>
      <c r="H3" s="3" t="s">
        <v>193</v>
      </c>
      <c r="I3" s="3" t="s">
        <v>194</v>
      </c>
      <c r="J3" s="3" t="s">
        <v>195</v>
      </c>
      <c r="K3" s="3" t="s">
        <v>196</v>
      </c>
      <c r="L3" s="3" t="s">
        <v>197</v>
      </c>
      <c r="M3" s="3" t="s">
        <v>198</v>
      </c>
      <c r="N3" s="3" t="n">
        <v>60</v>
      </c>
    </row>
    <row r="4" customFormat="false" ht="34.5" hidden="false" customHeight="true" outlineLevel="0" collapsed="false">
      <c r="A4" s="3" t="n">
        <v>3</v>
      </c>
      <c r="B4" s="3" t="s">
        <v>199</v>
      </c>
      <c r="C4" s="3" t="n">
        <v>3</v>
      </c>
      <c r="D4" s="3" t="s">
        <v>200</v>
      </c>
      <c r="E4" s="3" t="s">
        <v>201</v>
      </c>
      <c r="F4" s="3" t="s">
        <v>202</v>
      </c>
      <c r="G4" s="3" t="s">
        <v>203</v>
      </c>
      <c r="H4" s="3" t="s">
        <v>204</v>
      </c>
      <c r="I4" s="3" t="s">
        <v>205</v>
      </c>
      <c r="J4" s="3" t="s">
        <v>206</v>
      </c>
      <c r="K4" s="3" t="s">
        <v>207</v>
      </c>
      <c r="L4" s="3" t="s">
        <v>208</v>
      </c>
      <c r="M4" s="3" t="s">
        <v>209</v>
      </c>
      <c r="N4" s="3" t="n">
        <v>55</v>
      </c>
    </row>
    <row r="5" customFormat="false" ht="23.25" hidden="false" customHeight="true" outlineLevel="0" collapsed="false">
      <c r="A5" s="3" t="n">
        <v>4</v>
      </c>
      <c r="B5" s="3" t="s">
        <v>210</v>
      </c>
      <c r="C5" s="3" t="n">
        <v>3</v>
      </c>
      <c r="D5" s="3" t="s">
        <v>211</v>
      </c>
      <c r="E5" s="3" t="s">
        <v>212</v>
      </c>
      <c r="F5" s="3" t="s">
        <v>213</v>
      </c>
      <c r="G5" s="3" t="s">
        <v>214</v>
      </c>
      <c r="H5" s="3" t="s">
        <v>215</v>
      </c>
      <c r="I5" s="3" t="s">
        <v>216</v>
      </c>
      <c r="J5" s="3" t="s">
        <v>217</v>
      </c>
      <c r="K5" s="3" t="s">
        <v>218</v>
      </c>
      <c r="L5" s="3" t="s">
        <v>219</v>
      </c>
      <c r="M5" s="3" t="s">
        <v>220</v>
      </c>
      <c r="N5" s="3" t="n">
        <v>45</v>
      </c>
    </row>
    <row r="6" customFormat="false" ht="23.25" hidden="false" customHeight="true" outlineLevel="0" collapsed="false">
      <c r="A6" s="3" t="n">
        <v>5</v>
      </c>
      <c r="B6" s="3" t="s">
        <v>221</v>
      </c>
      <c r="C6" s="3" t="n">
        <v>12</v>
      </c>
      <c r="D6" s="3" t="s">
        <v>222</v>
      </c>
      <c r="E6" s="3" t="s">
        <v>223</v>
      </c>
      <c r="F6" s="3" t="s">
        <v>224</v>
      </c>
      <c r="G6" s="3" t="s">
        <v>225</v>
      </c>
      <c r="H6" s="3" t="s">
        <v>226</v>
      </c>
      <c r="I6" s="3" t="s">
        <v>227</v>
      </c>
      <c r="J6" s="3" t="s">
        <v>68</v>
      </c>
      <c r="K6" s="3" t="s">
        <v>228</v>
      </c>
      <c r="L6" s="3" t="s">
        <v>229</v>
      </c>
      <c r="M6" s="3" t="s">
        <v>230</v>
      </c>
      <c r="N6" s="3" t="n">
        <v>35</v>
      </c>
    </row>
    <row r="7" customFormat="false" ht="23.25" hidden="false" customHeight="true" outlineLevel="0" collapsed="false">
      <c r="A7" s="3" t="n">
        <v>6</v>
      </c>
      <c r="B7" s="3" t="s">
        <v>231</v>
      </c>
      <c r="C7" s="3" t="n">
        <v>12</v>
      </c>
      <c r="D7" s="3" t="s">
        <v>232</v>
      </c>
      <c r="E7" s="3" t="s">
        <v>233</v>
      </c>
      <c r="F7" s="3" t="s">
        <v>234</v>
      </c>
      <c r="G7" s="3" t="s">
        <v>235</v>
      </c>
      <c r="H7" s="3" t="s">
        <v>236</v>
      </c>
      <c r="I7" s="3" t="s">
        <v>237</v>
      </c>
      <c r="J7" s="3" t="s">
        <v>238</v>
      </c>
      <c r="K7" s="3" t="s">
        <v>239</v>
      </c>
      <c r="L7" s="3" t="s">
        <v>240</v>
      </c>
      <c r="M7" s="3" t="s">
        <v>241</v>
      </c>
      <c r="N7" s="3" t="n">
        <v>25</v>
      </c>
    </row>
    <row r="8" customFormat="false" ht="23.25" hidden="false" customHeight="true" outlineLevel="0" collapsed="false">
      <c r="A8" s="3" t="n">
        <v>7</v>
      </c>
      <c r="B8" s="3" t="s">
        <v>242</v>
      </c>
      <c r="C8" s="3" t="n">
        <v>24</v>
      </c>
      <c r="D8" s="3" t="s">
        <v>243</v>
      </c>
      <c r="E8" s="3" t="s">
        <v>244</v>
      </c>
      <c r="F8" s="3" t="s">
        <v>245</v>
      </c>
      <c r="G8" s="3" t="s">
        <v>246</v>
      </c>
      <c r="H8" s="3" t="s">
        <v>247</v>
      </c>
      <c r="I8" s="3" t="s">
        <v>248</v>
      </c>
      <c r="J8" s="3" t="s">
        <v>249</v>
      </c>
      <c r="K8" s="3" t="s">
        <v>250</v>
      </c>
      <c r="L8" s="3" t="s">
        <v>251</v>
      </c>
      <c r="M8" s="3" t="s">
        <v>252</v>
      </c>
      <c r="N8" s="3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35"/>
    <col collapsed="false" customWidth="true" hidden="false" outlineLevel="0" max="4" min="4" style="1" width="40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8" min="7" style="1" width="16"/>
    <col collapsed="false" customWidth="true" hidden="false" outlineLevel="0" max="9" min="9" style="1" width="20"/>
    <col collapsed="false" customWidth="true" hidden="false" outlineLevel="0" max="10" min="10" style="1" width="18"/>
    <col collapsed="false" customWidth="true" hidden="false" outlineLevel="0" max="11" min="11" style="1" width="20"/>
    <col collapsed="false" customWidth="true" hidden="false" outlineLevel="0" max="12" min="12" style="1" width="15"/>
  </cols>
  <sheetData>
    <row r="1" customFormat="false" ht="39.75" hidden="false" customHeight="true" outlineLevel="0" collapsed="false">
      <c r="A1" s="2" t="s">
        <v>253</v>
      </c>
      <c r="B1" s="2" t="s">
        <v>254</v>
      </c>
      <c r="C1" s="2" t="s">
        <v>255</v>
      </c>
      <c r="D1" s="2" t="s">
        <v>256</v>
      </c>
      <c r="E1" s="2" t="s">
        <v>257</v>
      </c>
      <c r="F1" s="2" t="s">
        <v>258</v>
      </c>
      <c r="G1" s="2" t="s">
        <v>259</v>
      </c>
      <c r="H1" s="2" t="s">
        <v>260</v>
      </c>
      <c r="I1" s="2" t="s">
        <v>261</v>
      </c>
      <c r="J1" s="2" t="s">
        <v>262</v>
      </c>
      <c r="K1" s="2" t="s">
        <v>263</v>
      </c>
      <c r="L1" s="2" t="s">
        <v>264</v>
      </c>
    </row>
    <row r="2" customFormat="false" ht="15" hidden="false" customHeight="true" outlineLevel="0" collapsed="false">
      <c r="A2" s="8" t="n">
        <v>1</v>
      </c>
      <c r="B2" s="8" t="s">
        <v>265</v>
      </c>
      <c r="C2" s="8" t="s">
        <v>266</v>
      </c>
      <c r="D2" s="8" t="s">
        <v>267</v>
      </c>
      <c r="E2" s="8" t="n">
        <v>0</v>
      </c>
      <c r="F2" s="8" t="n">
        <v>0</v>
      </c>
      <c r="G2" s="8" t="n">
        <v>0</v>
      </c>
      <c r="H2" s="8" t="s">
        <v>268</v>
      </c>
      <c r="I2" s="8" t="s">
        <v>269</v>
      </c>
      <c r="J2" s="8" t="s">
        <v>270</v>
      </c>
      <c r="K2" s="8" t="s">
        <v>271</v>
      </c>
      <c r="L2" s="8" t="s">
        <v>272</v>
      </c>
    </row>
    <row r="3" customFormat="false" ht="15" hidden="false" customHeight="true" outlineLevel="0" collapsed="false">
      <c r="A3" s="8" t="n">
        <v>2</v>
      </c>
      <c r="B3" s="8" t="s">
        <v>273</v>
      </c>
      <c r="C3" s="8" t="s">
        <v>274</v>
      </c>
      <c r="D3" s="8" t="s">
        <v>275</v>
      </c>
      <c r="E3" s="8" t="n">
        <v>0</v>
      </c>
      <c r="F3" s="8" t="n">
        <v>5</v>
      </c>
      <c r="G3" s="8" t="n">
        <v>0</v>
      </c>
      <c r="H3" s="8" t="s">
        <v>276</v>
      </c>
      <c r="I3" s="8" t="s">
        <v>277</v>
      </c>
      <c r="J3" s="8" t="s">
        <v>278</v>
      </c>
      <c r="K3" s="8" t="s">
        <v>279</v>
      </c>
      <c r="L3" s="8" t="s">
        <v>272</v>
      </c>
    </row>
    <row r="4" customFormat="false" ht="15" hidden="false" customHeight="true" outlineLevel="0" collapsed="false">
      <c r="A4" s="8" t="n">
        <v>3</v>
      </c>
      <c r="B4" s="8" t="s">
        <v>280</v>
      </c>
      <c r="C4" s="8" t="s">
        <v>281</v>
      </c>
      <c r="D4" s="8" t="s">
        <v>282</v>
      </c>
      <c r="E4" s="8" t="n">
        <v>0</v>
      </c>
      <c r="F4" s="8" t="n">
        <v>15</v>
      </c>
      <c r="G4" s="8" t="n">
        <v>0</v>
      </c>
      <c r="H4" s="8" t="s">
        <v>283</v>
      </c>
      <c r="I4" s="8" t="s">
        <v>284</v>
      </c>
      <c r="J4" s="8" t="s">
        <v>285</v>
      </c>
      <c r="K4" s="8" t="s">
        <v>286</v>
      </c>
      <c r="L4" s="8" t="s">
        <v>272</v>
      </c>
    </row>
    <row r="5" customFormat="false" ht="15" hidden="false" customHeight="true" outlineLevel="0" collapsed="false">
      <c r="A5" s="8" t="n">
        <v>4</v>
      </c>
      <c r="B5" s="8" t="s">
        <v>287</v>
      </c>
      <c r="C5" s="8" t="s">
        <v>288</v>
      </c>
      <c r="D5" s="8" t="s">
        <v>289</v>
      </c>
      <c r="E5" s="8" t="n">
        <v>0</v>
      </c>
      <c r="F5" s="8" t="n">
        <v>20</v>
      </c>
      <c r="G5" s="8" t="n">
        <v>0</v>
      </c>
      <c r="H5" s="8" t="s">
        <v>290</v>
      </c>
      <c r="I5" s="8" t="s">
        <v>291</v>
      </c>
      <c r="J5" s="8" t="s">
        <v>292</v>
      </c>
      <c r="K5" s="8" t="s">
        <v>293</v>
      </c>
      <c r="L5" s="8" t="s">
        <v>272</v>
      </c>
    </row>
    <row r="6" customFormat="false" ht="15" hidden="false" customHeight="true" outlineLevel="0" collapsed="false">
      <c r="A6" s="8" t="n">
        <v>5</v>
      </c>
      <c r="B6" s="8" t="s">
        <v>294</v>
      </c>
      <c r="C6" s="8" t="s">
        <v>295</v>
      </c>
      <c r="D6" s="8" t="s">
        <v>296</v>
      </c>
      <c r="E6" s="8" t="n">
        <v>5000</v>
      </c>
      <c r="F6" s="8" t="n">
        <v>25</v>
      </c>
      <c r="G6" s="8" t="n">
        <v>1</v>
      </c>
      <c r="H6" s="8" t="s">
        <v>297</v>
      </c>
      <c r="I6" s="8" t="s">
        <v>298</v>
      </c>
      <c r="J6" s="8" t="s">
        <v>299</v>
      </c>
      <c r="K6" s="8" t="s">
        <v>300</v>
      </c>
      <c r="L6" s="8" t="s">
        <v>272</v>
      </c>
    </row>
    <row r="7" customFormat="false" ht="15" hidden="false" customHeight="true" outlineLevel="0" collapsed="false">
      <c r="A7" s="8" t="n">
        <v>6</v>
      </c>
      <c r="B7" s="8" t="s">
        <v>301</v>
      </c>
      <c r="C7" s="8" t="s">
        <v>302</v>
      </c>
      <c r="D7" s="8" t="s">
        <v>303</v>
      </c>
      <c r="E7" s="8" t="n">
        <v>15000</v>
      </c>
      <c r="F7" s="8" t="n">
        <v>30</v>
      </c>
      <c r="G7" s="8" t="n">
        <v>1</v>
      </c>
      <c r="H7" s="8" t="s">
        <v>304</v>
      </c>
      <c r="I7" s="8" t="s">
        <v>305</v>
      </c>
      <c r="J7" s="8" t="s">
        <v>306</v>
      </c>
      <c r="K7" s="8" t="s">
        <v>307</v>
      </c>
      <c r="L7" s="8" t="s">
        <v>272</v>
      </c>
    </row>
    <row r="8" customFormat="false" ht="15" hidden="false" customHeight="true" outlineLevel="0" collapsed="false">
      <c r="A8" s="8" t="n">
        <v>7</v>
      </c>
      <c r="B8" s="8" t="s">
        <v>308</v>
      </c>
      <c r="C8" s="8" t="s">
        <v>309</v>
      </c>
      <c r="D8" s="8" t="s">
        <v>310</v>
      </c>
      <c r="E8" s="8" t="n">
        <v>20000</v>
      </c>
      <c r="F8" s="8" t="n">
        <v>35</v>
      </c>
      <c r="G8" s="8" t="n">
        <v>2</v>
      </c>
      <c r="H8" s="8" t="s">
        <v>311</v>
      </c>
      <c r="I8" s="8" t="s">
        <v>312</v>
      </c>
      <c r="J8" s="8" t="s">
        <v>313</v>
      </c>
      <c r="K8" s="8" t="s">
        <v>314</v>
      </c>
      <c r="L8" s="8" t="s">
        <v>272</v>
      </c>
    </row>
    <row r="9" customFormat="false" ht="15" hidden="false" customHeight="true" outlineLevel="0" collapsed="false">
      <c r="A9" s="8" t="n">
        <v>8</v>
      </c>
      <c r="B9" s="8" t="s">
        <v>315</v>
      </c>
      <c r="C9" s="8" t="s">
        <v>316</v>
      </c>
      <c r="D9" s="8" t="s">
        <v>317</v>
      </c>
      <c r="E9" s="8" t="n">
        <v>30000</v>
      </c>
      <c r="F9" s="8" t="n">
        <v>40</v>
      </c>
      <c r="G9" s="8" t="n">
        <v>3</v>
      </c>
      <c r="H9" s="8" t="s">
        <v>318</v>
      </c>
      <c r="I9" s="8" t="s">
        <v>319</v>
      </c>
      <c r="J9" s="8" t="s">
        <v>320</v>
      </c>
      <c r="K9" s="8" t="s">
        <v>321</v>
      </c>
      <c r="L9" s="8" t="s">
        <v>272</v>
      </c>
    </row>
    <row r="10" customFormat="false" ht="15" hidden="false" customHeight="true" outlineLevel="0" collapsed="false">
      <c r="A10" s="8" t="n">
        <v>9</v>
      </c>
      <c r="B10" s="8" t="s">
        <v>322</v>
      </c>
      <c r="C10" s="8" t="s">
        <v>323</v>
      </c>
      <c r="D10" s="8" t="s">
        <v>324</v>
      </c>
      <c r="E10" s="8" t="n">
        <v>40000</v>
      </c>
      <c r="F10" s="8" t="n">
        <v>45</v>
      </c>
      <c r="G10" s="8" t="n">
        <v>3</v>
      </c>
      <c r="H10" s="8" t="s">
        <v>325</v>
      </c>
      <c r="I10" s="8" t="s">
        <v>326</v>
      </c>
      <c r="J10" s="8" t="s">
        <v>327</v>
      </c>
      <c r="K10" s="8" t="s">
        <v>328</v>
      </c>
      <c r="L10" s="8" t="s">
        <v>272</v>
      </c>
    </row>
    <row r="11" customFormat="false" ht="21.75" hidden="false" customHeight="true" outlineLevel="0" collapsed="false">
      <c r="A11" s="8" t="n">
        <v>10</v>
      </c>
      <c r="B11" s="8" t="s">
        <v>329</v>
      </c>
      <c r="C11" s="8" t="s">
        <v>330</v>
      </c>
      <c r="D11" s="8" t="s">
        <v>331</v>
      </c>
      <c r="E11" s="8" t="n">
        <v>50000</v>
      </c>
      <c r="F11" s="8" t="n">
        <v>50</v>
      </c>
      <c r="G11" s="8" t="n">
        <v>4</v>
      </c>
      <c r="H11" s="8" t="s">
        <v>332</v>
      </c>
      <c r="I11" s="8" t="s">
        <v>333</v>
      </c>
      <c r="J11" s="8" t="s">
        <v>334</v>
      </c>
      <c r="K11" s="8" t="s">
        <v>335</v>
      </c>
      <c r="L11" s="8" t="s">
        <v>272</v>
      </c>
    </row>
    <row r="12" customFormat="false" ht="21.75" hidden="false" customHeight="true" outlineLevel="0" collapsed="false">
      <c r="A12" s="8" t="n">
        <v>11</v>
      </c>
      <c r="B12" s="8" t="s">
        <v>336</v>
      </c>
      <c r="C12" s="8" t="s">
        <v>337</v>
      </c>
      <c r="D12" s="8" t="s">
        <v>338</v>
      </c>
      <c r="E12" s="8" t="n">
        <v>65000</v>
      </c>
      <c r="F12" s="8" t="n">
        <v>55</v>
      </c>
      <c r="G12" s="8" t="n">
        <v>5</v>
      </c>
      <c r="H12" s="8" t="s">
        <v>339</v>
      </c>
      <c r="I12" s="8" t="s">
        <v>340</v>
      </c>
      <c r="J12" s="8" t="s">
        <v>341</v>
      </c>
      <c r="K12" s="8" t="s">
        <v>342</v>
      </c>
      <c r="L12" s="8" t="s">
        <v>272</v>
      </c>
    </row>
    <row r="13" customFormat="false" ht="21.75" hidden="false" customHeight="true" outlineLevel="0" collapsed="false">
      <c r="A13" s="8" t="n">
        <v>12</v>
      </c>
      <c r="B13" s="8" t="s">
        <v>343</v>
      </c>
      <c r="C13" s="8" t="s">
        <v>344</v>
      </c>
      <c r="D13" s="8" t="s">
        <v>345</v>
      </c>
      <c r="E13" s="8" t="n">
        <v>75000</v>
      </c>
      <c r="F13" s="8" t="n">
        <v>60</v>
      </c>
      <c r="G13" s="8" t="n">
        <v>5</v>
      </c>
      <c r="H13" s="8" t="s">
        <v>346</v>
      </c>
      <c r="I13" s="8" t="s">
        <v>347</v>
      </c>
      <c r="J13" s="8" t="s">
        <v>348</v>
      </c>
      <c r="K13" s="8" t="s">
        <v>349</v>
      </c>
      <c r="L13" s="8" t="s">
        <v>272</v>
      </c>
    </row>
    <row r="14" customFormat="false" ht="15" hidden="false" customHeight="true" outlineLevel="0" collapsed="false">
      <c r="A14" s="8" t="n">
        <v>13</v>
      </c>
      <c r="B14" s="8" t="s">
        <v>350</v>
      </c>
      <c r="C14" s="8" t="s">
        <v>351</v>
      </c>
      <c r="D14" s="8" t="s">
        <v>352</v>
      </c>
      <c r="E14" s="8" t="n">
        <v>85000</v>
      </c>
      <c r="F14" s="8" t="n">
        <v>65</v>
      </c>
      <c r="G14" s="8" t="n">
        <v>6</v>
      </c>
      <c r="H14" s="8" t="s">
        <v>353</v>
      </c>
      <c r="I14" s="8" t="s">
        <v>354</v>
      </c>
      <c r="J14" s="8" t="s">
        <v>355</v>
      </c>
      <c r="K14" s="8" t="s">
        <v>356</v>
      </c>
      <c r="L14" s="8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6" min="3" style="1" width="18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10" min="9" style="1" width="25"/>
    <col collapsed="false" customWidth="true" hidden="false" outlineLevel="0" max="11" min="11" style="1" width="14"/>
    <col collapsed="false" customWidth="true" hidden="false" outlineLevel="0" max="12" min="12" style="1" width="10"/>
    <col collapsed="false" customWidth="true" hidden="false" outlineLevel="0" max="13" min="13" style="1" width="14"/>
  </cols>
  <sheetData>
    <row r="1" customFormat="false" ht="39.75" hidden="false" customHeight="true" outlineLevel="0" collapsed="false">
      <c r="A1" s="2" t="s">
        <v>357</v>
      </c>
      <c r="B1" s="2" t="s">
        <v>358</v>
      </c>
      <c r="C1" s="2" t="s">
        <v>359</v>
      </c>
      <c r="D1" s="2" t="s">
        <v>360</v>
      </c>
      <c r="E1" s="2" t="s">
        <v>361</v>
      </c>
      <c r="F1" s="2" t="s">
        <v>362</v>
      </c>
      <c r="G1" s="2" t="s">
        <v>363</v>
      </c>
      <c r="H1" s="2" t="s">
        <v>364</v>
      </c>
      <c r="I1" s="2" t="s">
        <v>365</v>
      </c>
      <c r="J1" s="2" t="s">
        <v>5</v>
      </c>
      <c r="K1" s="2" t="s">
        <v>366</v>
      </c>
      <c r="L1" s="2" t="s">
        <v>367</v>
      </c>
      <c r="M1" s="2" t="s">
        <v>368</v>
      </c>
    </row>
    <row r="2" customFormat="false" ht="15" hidden="false" customHeight="true" outlineLevel="0" collapsed="false">
      <c r="A2" s="8" t="s">
        <v>369</v>
      </c>
      <c r="B2" s="8" t="s">
        <v>370</v>
      </c>
      <c r="C2" s="8" t="s">
        <v>192</v>
      </c>
      <c r="D2" s="8" t="n">
        <v>14</v>
      </c>
      <c r="E2" s="8" t="n">
        <v>0</v>
      </c>
      <c r="F2" s="8" t="n">
        <v>30</v>
      </c>
      <c r="G2" s="8" t="s">
        <v>371</v>
      </c>
      <c r="H2" s="8" t="n">
        <v>80</v>
      </c>
      <c r="I2" s="8" t="s">
        <v>372</v>
      </c>
      <c r="J2" s="8" t="s">
        <v>52</v>
      </c>
      <c r="K2" s="8" t="n">
        <v>1</v>
      </c>
      <c r="L2" s="8" t="s">
        <v>373</v>
      </c>
      <c r="M2" s="8" t="n">
        <v>85</v>
      </c>
    </row>
    <row r="3" customFormat="false" ht="15" hidden="false" customHeight="true" outlineLevel="0" collapsed="false">
      <c r="A3" s="8" t="s">
        <v>114</v>
      </c>
      <c r="B3" s="8" t="s">
        <v>374</v>
      </c>
      <c r="C3" s="8" t="s">
        <v>375</v>
      </c>
      <c r="D3" s="8" t="n">
        <v>7</v>
      </c>
      <c r="E3" s="8" t="n">
        <v>500</v>
      </c>
      <c r="F3" s="8" t="n">
        <v>14</v>
      </c>
      <c r="G3" s="8" t="s">
        <v>376</v>
      </c>
      <c r="H3" s="8" t="n">
        <v>70</v>
      </c>
      <c r="I3" s="8" t="s">
        <v>377</v>
      </c>
      <c r="J3" s="8" t="s">
        <v>20</v>
      </c>
      <c r="K3" s="8" t="n">
        <v>2</v>
      </c>
      <c r="L3" s="8" t="s">
        <v>373</v>
      </c>
      <c r="M3" s="8" t="n">
        <v>75</v>
      </c>
    </row>
    <row r="4" customFormat="false" ht="15" hidden="false" customHeight="true" outlineLevel="0" collapsed="false">
      <c r="A4" s="8" t="s">
        <v>117</v>
      </c>
      <c r="B4" s="8" t="s">
        <v>378</v>
      </c>
      <c r="C4" s="8" t="s">
        <v>379</v>
      </c>
      <c r="D4" s="8" t="n">
        <v>30</v>
      </c>
      <c r="E4" s="8" t="n">
        <v>2000</v>
      </c>
      <c r="F4" s="8" t="n">
        <v>60</v>
      </c>
      <c r="G4" s="8" t="s">
        <v>380</v>
      </c>
      <c r="H4" s="8" t="n">
        <v>75</v>
      </c>
      <c r="I4" s="8" t="s">
        <v>381</v>
      </c>
      <c r="J4" s="8" t="s">
        <v>382</v>
      </c>
      <c r="K4" s="8" t="n">
        <v>3</v>
      </c>
      <c r="L4" s="8" t="s">
        <v>383</v>
      </c>
      <c r="M4" s="8" t="n">
        <v>70</v>
      </c>
    </row>
    <row r="5" customFormat="false" ht="15" hidden="false" customHeight="true" outlineLevel="0" collapsed="false">
      <c r="A5" s="8" t="s">
        <v>384</v>
      </c>
      <c r="B5" s="8" t="s">
        <v>385</v>
      </c>
      <c r="C5" s="8" t="s">
        <v>386</v>
      </c>
      <c r="D5" s="8" t="n">
        <v>14</v>
      </c>
      <c r="E5" s="8" t="n">
        <v>1000</v>
      </c>
      <c r="F5" s="8" t="n">
        <v>90</v>
      </c>
      <c r="G5" s="8" t="s">
        <v>387</v>
      </c>
      <c r="H5" s="8" t="n">
        <v>85</v>
      </c>
      <c r="I5" s="8" t="s">
        <v>388</v>
      </c>
      <c r="J5" s="8" t="s">
        <v>389</v>
      </c>
      <c r="K5" s="8" t="n">
        <v>4</v>
      </c>
      <c r="L5" s="8" t="s">
        <v>390</v>
      </c>
      <c r="M5" s="8" t="n">
        <v>65</v>
      </c>
    </row>
    <row r="6" customFormat="false" ht="15" hidden="false" customHeight="true" outlineLevel="0" collapsed="false">
      <c r="A6" s="8" t="s">
        <v>391</v>
      </c>
      <c r="B6" s="8" t="s">
        <v>392</v>
      </c>
      <c r="C6" s="8" t="s">
        <v>393</v>
      </c>
      <c r="D6" s="8" t="n">
        <v>7</v>
      </c>
      <c r="E6" s="8" t="n">
        <v>500</v>
      </c>
      <c r="F6" s="8" t="n">
        <v>60</v>
      </c>
      <c r="G6" s="8" t="s">
        <v>387</v>
      </c>
      <c r="H6" s="8" t="n">
        <v>90</v>
      </c>
      <c r="I6" s="8" t="s">
        <v>394</v>
      </c>
      <c r="J6" s="8" t="s">
        <v>395</v>
      </c>
      <c r="K6" s="8" t="n">
        <v>5</v>
      </c>
      <c r="L6" s="8" t="s">
        <v>390</v>
      </c>
      <c r="M6" s="8" t="n">
        <v>60</v>
      </c>
    </row>
    <row r="7" customFormat="false" ht="21.75" hidden="false" customHeight="true" outlineLevel="0" collapsed="false">
      <c r="A7" s="8" t="s">
        <v>396</v>
      </c>
      <c r="B7" s="8" t="s">
        <v>397</v>
      </c>
      <c r="C7" s="8" t="s">
        <v>398</v>
      </c>
      <c r="D7" s="8" t="n">
        <v>60</v>
      </c>
      <c r="E7" s="8" t="n">
        <v>5000</v>
      </c>
      <c r="F7" s="8" t="n">
        <v>90</v>
      </c>
      <c r="G7" s="8" t="s">
        <v>399</v>
      </c>
      <c r="H7" s="8" t="n">
        <v>55</v>
      </c>
      <c r="I7" s="8" t="s">
        <v>400</v>
      </c>
      <c r="J7" s="8" t="s">
        <v>401</v>
      </c>
      <c r="K7" s="8" t="n">
        <v>6</v>
      </c>
      <c r="L7" s="8" t="s">
        <v>110</v>
      </c>
      <c r="M7" s="8" t="n">
        <v>50</v>
      </c>
    </row>
    <row r="8" customFormat="false" ht="21.75" hidden="false" customHeight="true" outlineLevel="0" collapsed="false">
      <c r="A8" s="8" t="s">
        <v>402</v>
      </c>
      <c r="B8" s="8" t="s">
        <v>403</v>
      </c>
      <c r="C8" s="8" t="s">
        <v>404</v>
      </c>
      <c r="D8" s="8" t="n">
        <v>60</v>
      </c>
      <c r="E8" s="8" t="n">
        <v>5000</v>
      </c>
      <c r="F8" s="8" t="n">
        <v>90</v>
      </c>
      <c r="G8" s="8" t="s">
        <v>399</v>
      </c>
      <c r="H8" s="8" t="n">
        <v>55</v>
      </c>
      <c r="I8" s="8" t="s">
        <v>400</v>
      </c>
      <c r="J8" s="8" t="s">
        <v>401</v>
      </c>
      <c r="K8" s="8" t="n">
        <v>7</v>
      </c>
      <c r="L8" s="8" t="s">
        <v>110</v>
      </c>
      <c r="M8" s="8" t="n">
        <v>50</v>
      </c>
    </row>
    <row r="9" customFormat="false" ht="21.75" hidden="false" customHeight="true" outlineLevel="0" collapsed="false">
      <c r="A9" s="8" t="s">
        <v>405</v>
      </c>
      <c r="B9" s="8" t="s">
        <v>406</v>
      </c>
      <c r="C9" s="8" t="s">
        <v>407</v>
      </c>
      <c r="D9" s="8" t="n">
        <v>60</v>
      </c>
      <c r="E9" s="8" t="n">
        <v>5000</v>
      </c>
      <c r="F9" s="8" t="n">
        <v>90</v>
      </c>
      <c r="G9" s="8" t="s">
        <v>399</v>
      </c>
      <c r="H9" s="8" t="n">
        <v>60</v>
      </c>
      <c r="I9" s="8" t="s">
        <v>400</v>
      </c>
      <c r="J9" s="8" t="s">
        <v>401</v>
      </c>
      <c r="K9" s="8" t="n">
        <v>8</v>
      </c>
      <c r="L9" s="8" t="s">
        <v>110</v>
      </c>
      <c r="M9" s="8" t="n">
        <v>50</v>
      </c>
    </row>
    <row r="10" customFormat="false" ht="15" hidden="false" customHeight="true" outlineLevel="0" collapsed="false">
      <c r="A10" s="8" t="s">
        <v>408</v>
      </c>
      <c r="B10" s="8" t="s">
        <v>409</v>
      </c>
      <c r="C10" s="8" t="s">
        <v>410</v>
      </c>
      <c r="D10" s="8" t="n">
        <v>90</v>
      </c>
      <c r="E10" s="8" t="n">
        <v>10000</v>
      </c>
      <c r="F10" s="8" t="n">
        <v>120</v>
      </c>
      <c r="G10" s="8" t="s">
        <v>411</v>
      </c>
      <c r="H10" s="8" t="n">
        <v>65</v>
      </c>
      <c r="I10" s="8" t="s">
        <v>412</v>
      </c>
      <c r="J10" s="8" t="s">
        <v>413</v>
      </c>
      <c r="K10" s="8" t="n">
        <v>9</v>
      </c>
      <c r="L10" s="8" t="s">
        <v>110</v>
      </c>
      <c r="M10" s="8" t="n">
        <v>45</v>
      </c>
    </row>
    <row r="11" customFormat="false" ht="21.75" hidden="false" customHeight="true" outlineLevel="0" collapsed="false">
      <c r="A11" s="8" t="s">
        <v>414</v>
      </c>
      <c r="B11" s="8" t="s">
        <v>415</v>
      </c>
      <c r="C11" s="8" t="s">
        <v>416</v>
      </c>
      <c r="D11" s="8" t="n">
        <v>60</v>
      </c>
      <c r="E11" s="8" t="n">
        <v>5000</v>
      </c>
      <c r="F11" s="8" t="n">
        <v>90</v>
      </c>
      <c r="G11" s="8" t="s">
        <v>399</v>
      </c>
      <c r="H11" s="8" t="n">
        <v>55</v>
      </c>
      <c r="I11" s="8" t="s">
        <v>417</v>
      </c>
      <c r="J11" s="8" t="s">
        <v>418</v>
      </c>
      <c r="K11" s="8" t="n">
        <v>10</v>
      </c>
      <c r="L11" s="8" t="s">
        <v>110</v>
      </c>
      <c r="M11" s="8" t="n">
        <v>45</v>
      </c>
    </row>
    <row r="12" customFormat="false" ht="15" hidden="false" customHeight="true" outlineLevel="0" collapsed="false">
      <c r="A12" s="8" t="s">
        <v>419</v>
      </c>
      <c r="B12" s="8" t="s">
        <v>420</v>
      </c>
      <c r="C12" s="8" t="s">
        <v>421</v>
      </c>
      <c r="D12" s="8" t="n">
        <v>90</v>
      </c>
      <c r="E12" s="8" t="n">
        <v>20000</v>
      </c>
      <c r="F12" s="8" t="n">
        <v>180</v>
      </c>
      <c r="G12" s="8" t="s">
        <v>422</v>
      </c>
      <c r="H12" s="8" t="n">
        <v>70</v>
      </c>
      <c r="I12" s="8" t="s">
        <v>423</v>
      </c>
      <c r="J12" s="8" t="s">
        <v>424</v>
      </c>
      <c r="K12" s="8" t="n">
        <v>11</v>
      </c>
      <c r="L12" s="8" t="s">
        <v>425</v>
      </c>
      <c r="M12" s="8" t="n">
        <v>40</v>
      </c>
    </row>
    <row r="13" customFormat="false" ht="15" hidden="false" customHeight="true" outlineLevel="0" collapsed="false">
      <c r="A13" s="8" t="s">
        <v>426</v>
      </c>
      <c r="B13" s="8" t="s">
        <v>427</v>
      </c>
      <c r="C13" s="8" t="s">
        <v>428</v>
      </c>
      <c r="D13" s="8" t="n">
        <v>90</v>
      </c>
      <c r="E13" s="8" t="n">
        <v>50000</v>
      </c>
      <c r="F13" s="8" t="n">
        <v>180</v>
      </c>
      <c r="G13" s="8" t="s">
        <v>429</v>
      </c>
      <c r="H13" s="8" t="n">
        <v>60</v>
      </c>
      <c r="I13" s="8" t="s">
        <v>430</v>
      </c>
      <c r="J13" s="8" t="s">
        <v>431</v>
      </c>
      <c r="K13" s="8" t="n">
        <v>12</v>
      </c>
      <c r="L13" s="8" t="s">
        <v>425</v>
      </c>
      <c r="M13" s="8" t="n">
        <v>35</v>
      </c>
    </row>
    <row r="14" customFormat="false" ht="15" hidden="false" customHeight="true" outlineLevel="0" collapsed="false">
      <c r="A14" s="8" t="s">
        <v>432</v>
      </c>
      <c r="B14" s="8" t="s">
        <v>433</v>
      </c>
      <c r="C14" s="8" t="s">
        <v>434</v>
      </c>
      <c r="D14" s="8" t="n">
        <v>120</v>
      </c>
      <c r="E14" s="8" t="n">
        <v>30000</v>
      </c>
      <c r="F14" s="8" t="n">
        <v>180</v>
      </c>
      <c r="G14" s="8" t="s">
        <v>422</v>
      </c>
      <c r="H14" s="8" t="n">
        <v>75</v>
      </c>
      <c r="I14" s="8" t="s">
        <v>435</v>
      </c>
      <c r="J14" s="8" t="s">
        <v>436</v>
      </c>
      <c r="K14" s="8" t="n">
        <v>13</v>
      </c>
      <c r="L14" s="8" t="s">
        <v>425</v>
      </c>
      <c r="M14" s="8" t="n">
        <v>35</v>
      </c>
    </row>
    <row r="15" customFormat="false" ht="15" hidden="false" customHeight="true" outlineLevel="0" collapsed="false">
      <c r="A15" s="8" t="s">
        <v>106</v>
      </c>
      <c r="B15" s="8" t="s">
        <v>437</v>
      </c>
      <c r="C15" s="8" t="s">
        <v>438</v>
      </c>
      <c r="D15" s="8" t="n">
        <v>120</v>
      </c>
      <c r="E15" s="8" t="n">
        <v>25000</v>
      </c>
      <c r="F15" s="8" t="n">
        <v>180</v>
      </c>
      <c r="G15" s="8" t="s">
        <v>422</v>
      </c>
      <c r="H15" s="8" t="n">
        <v>80</v>
      </c>
      <c r="I15" s="8" t="s">
        <v>439</v>
      </c>
      <c r="J15" s="8" t="s">
        <v>440</v>
      </c>
      <c r="K15" s="8" t="n">
        <v>14</v>
      </c>
      <c r="L15" s="8" t="s">
        <v>425</v>
      </c>
      <c r="M15" s="8" t="n">
        <v>30</v>
      </c>
    </row>
    <row r="16" customFormat="false" ht="15" hidden="false" customHeight="true" outlineLevel="0" collapsed="false">
      <c r="A16" s="8" t="s">
        <v>441</v>
      </c>
      <c r="B16" s="8" t="s">
        <v>442</v>
      </c>
      <c r="C16" s="8" t="s">
        <v>443</v>
      </c>
      <c r="D16" s="8" t="n">
        <v>90</v>
      </c>
      <c r="E16" s="8" t="n">
        <v>15000</v>
      </c>
      <c r="F16" s="8" t="n">
        <v>120</v>
      </c>
      <c r="G16" s="8" t="s">
        <v>422</v>
      </c>
      <c r="H16" s="8" t="n">
        <v>80</v>
      </c>
      <c r="I16" s="8" t="s">
        <v>444</v>
      </c>
      <c r="J16" s="8" t="s">
        <v>445</v>
      </c>
      <c r="K16" s="8" t="n">
        <v>15</v>
      </c>
      <c r="L16" s="8" t="s">
        <v>425</v>
      </c>
      <c r="M16" s="8" t="n">
        <v>30</v>
      </c>
    </row>
    <row r="17" customFormat="false" ht="15" hidden="false" customHeight="true" outlineLevel="0" collapsed="false">
      <c r="A17" s="8" t="s">
        <v>446</v>
      </c>
      <c r="B17" s="8" t="s">
        <v>447</v>
      </c>
      <c r="C17" s="8" t="s">
        <v>448</v>
      </c>
      <c r="D17" s="8" t="n">
        <v>60</v>
      </c>
      <c r="E17" s="8" t="n">
        <v>20000</v>
      </c>
      <c r="F17" s="8" t="n">
        <v>180</v>
      </c>
      <c r="G17" s="8" t="s">
        <v>449</v>
      </c>
      <c r="H17" s="8" t="n">
        <v>85</v>
      </c>
      <c r="I17" s="8" t="s">
        <v>450</v>
      </c>
      <c r="J17" s="8" t="s">
        <v>451</v>
      </c>
      <c r="K17" s="8" t="n">
        <v>16</v>
      </c>
      <c r="L17" s="8" t="s">
        <v>452</v>
      </c>
      <c r="M17" s="8" t="n">
        <v>25</v>
      </c>
    </row>
    <row r="18" customFormat="false" ht="15" hidden="false" customHeight="true" outlineLevel="0" collapsed="false">
      <c r="A18" s="8" t="s">
        <v>453</v>
      </c>
      <c r="B18" s="8" t="s">
        <v>454</v>
      </c>
      <c r="C18" s="8" t="s">
        <v>455</v>
      </c>
      <c r="D18" s="8" t="n">
        <v>180</v>
      </c>
      <c r="E18" s="8" t="n">
        <v>100000</v>
      </c>
      <c r="F18" s="8" t="n">
        <v>365</v>
      </c>
      <c r="G18" s="8" t="s">
        <v>422</v>
      </c>
      <c r="H18" s="8" t="n">
        <v>70</v>
      </c>
      <c r="I18" s="8" t="s">
        <v>456</v>
      </c>
      <c r="J18" s="8" t="s">
        <v>457</v>
      </c>
      <c r="K18" s="8" t="n">
        <v>17</v>
      </c>
      <c r="L18" s="8" t="s">
        <v>458</v>
      </c>
      <c r="M18" s="8" t="n">
        <v>20</v>
      </c>
    </row>
    <row r="19" customFormat="false" ht="15" hidden="false" customHeight="true" outlineLevel="0" collapsed="false">
      <c r="A19" s="8" t="s">
        <v>157</v>
      </c>
      <c r="B19" s="8" t="s">
        <v>459</v>
      </c>
      <c r="C19" s="8" t="s">
        <v>460</v>
      </c>
      <c r="D19" s="8" t="n">
        <v>365</v>
      </c>
      <c r="E19" s="8" t="n">
        <v>500000</v>
      </c>
      <c r="F19" s="8" t="n">
        <v>730</v>
      </c>
      <c r="G19" s="8" t="s">
        <v>422</v>
      </c>
      <c r="H19" s="8" t="n">
        <v>60</v>
      </c>
      <c r="I19" s="8" t="s">
        <v>461</v>
      </c>
      <c r="J19" s="8" t="s">
        <v>462</v>
      </c>
      <c r="K19" s="8" t="n">
        <v>18</v>
      </c>
      <c r="L19" s="8" t="s">
        <v>463</v>
      </c>
      <c r="M19" s="8" t="n">
        <v>10</v>
      </c>
    </row>
    <row r="20" customFormat="false" ht="15" hidden="false" customHeight="true" outlineLevel="0" collapsed="false">
      <c r="A20" s="8" t="s">
        <v>464</v>
      </c>
      <c r="B20" s="8" t="s">
        <v>465</v>
      </c>
      <c r="C20" s="8" t="s">
        <v>466</v>
      </c>
      <c r="D20" s="8" t="n">
        <v>180</v>
      </c>
      <c r="E20" s="8" t="n">
        <v>50000</v>
      </c>
      <c r="F20" s="8" t="n">
        <v>365</v>
      </c>
      <c r="G20" s="8" t="s">
        <v>422</v>
      </c>
      <c r="H20" s="8" t="n">
        <v>80</v>
      </c>
      <c r="I20" s="8" t="s">
        <v>467</v>
      </c>
      <c r="J20" s="8" t="s">
        <v>468</v>
      </c>
      <c r="K20" s="8" t="n">
        <v>19</v>
      </c>
      <c r="L20" s="8" t="s">
        <v>452</v>
      </c>
      <c r="M20" s="8" t="n">
        <v>25</v>
      </c>
    </row>
    <row r="21" customFormat="false" ht="21.75" hidden="false" customHeight="true" outlineLevel="0" collapsed="false">
      <c r="A21" s="8" t="s">
        <v>469</v>
      </c>
      <c r="B21" s="8" t="s">
        <v>470</v>
      </c>
      <c r="C21" s="8" t="s">
        <v>471</v>
      </c>
      <c r="D21" s="8" t="n">
        <v>60</v>
      </c>
      <c r="E21" s="8" t="n">
        <v>5000</v>
      </c>
      <c r="F21" s="8" t="n">
        <v>90</v>
      </c>
      <c r="G21" s="8" t="s">
        <v>399</v>
      </c>
      <c r="H21" s="8" t="n">
        <v>55</v>
      </c>
      <c r="I21" s="8" t="s">
        <v>400</v>
      </c>
      <c r="J21" s="8" t="s">
        <v>401</v>
      </c>
      <c r="K21" s="8" t="n">
        <v>20</v>
      </c>
      <c r="L21" s="8" t="s">
        <v>110</v>
      </c>
      <c r="M21" s="8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25"/>
    <col collapsed="false" customWidth="true" hidden="false" outlineLevel="0" max="8" min="8" style="1" width="12"/>
    <col collapsed="false" customWidth="true" hidden="false" outlineLevel="0" max="11" min="9" style="1" width="14"/>
  </cols>
  <sheetData>
    <row r="1" customFormat="false" ht="39.75" hidden="false" customHeight="true" outlineLevel="0" collapsed="false">
      <c r="A1" s="2" t="s">
        <v>472</v>
      </c>
      <c r="B1" s="2" t="s">
        <v>473</v>
      </c>
      <c r="C1" s="2" t="s">
        <v>474</v>
      </c>
      <c r="D1" s="2" t="s">
        <v>475</v>
      </c>
      <c r="E1" s="2" t="s">
        <v>476</v>
      </c>
      <c r="F1" s="2" t="s">
        <v>477</v>
      </c>
      <c r="G1" s="2" t="s">
        <v>5</v>
      </c>
      <c r="H1" s="2" t="s">
        <v>478</v>
      </c>
      <c r="I1" s="2" t="s">
        <v>479</v>
      </c>
      <c r="J1" s="2" t="s">
        <v>366</v>
      </c>
      <c r="K1" s="2" t="s">
        <v>480</v>
      </c>
    </row>
    <row r="2" customFormat="false" ht="15" hidden="false" customHeight="true" outlineLevel="0" collapsed="false">
      <c r="A2" s="8" t="s">
        <v>481</v>
      </c>
      <c r="B2" s="8" t="s">
        <v>373</v>
      </c>
      <c r="C2" s="8" t="n">
        <v>3</v>
      </c>
      <c r="D2" s="8" t="s">
        <v>482</v>
      </c>
      <c r="E2" s="8" t="s">
        <v>373</v>
      </c>
      <c r="F2" s="8" t="n">
        <v>2</v>
      </c>
      <c r="G2" s="8" t="s">
        <v>52</v>
      </c>
      <c r="H2" s="8" t="s">
        <v>483</v>
      </c>
      <c r="I2" s="8" t="s">
        <v>482</v>
      </c>
      <c r="J2" s="8" t="n">
        <v>1</v>
      </c>
      <c r="K2" s="9" t="s">
        <v>484</v>
      </c>
    </row>
    <row r="3" customFormat="false" ht="15" hidden="false" customHeight="true" outlineLevel="0" collapsed="false">
      <c r="A3" s="8" t="s">
        <v>485</v>
      </c>
      <c r="B3" s="8" t="s">
        <v>373</v>
      </c>
      <c r="C3" s="8" t="n">
        <v>2</v>
      </c>
      <c r="D3" s="8" t="s">
        <v>482</v>
      </c>
      <c r="E3" s="8" t="s">
        <v>373</v>
      </c>
      <c r="F3" s="8" t="n">
        <v>1</v>
      </c>
      <c r="G3" s="8" t="s">
        <v>52</v>
      </c>
      <c r="H3" s="8" t="s">
        <v>483</v>
      </c>
      <c r="I3" s="8" t="s">
        <v>482</v>
      </c>
      <c r="J3" s="8" t="n">
        <v>2</v>
      </c>
      <c r="K3" s="9" t="s">
        <v>484</v>
      </c>
    </row>
    <row r="4" customFormat="false" ht="15" hidden="false" customHeight="true" outlineLevel="0" collapsed="false">
      <c r="A4" s="8" t="s">
        <v>486</v>
      </c>
      <c r="B4" s="8" t="s">
        <v>373</v>
      </c>
      <c r="C4" s="8" t="n">
        <v>2</v>
      </c>
      <c r="D4" s="8" t="s">
        <v>482</v>
      </c>
      <c r="E4" s="8" t="s">
        <v>373</v>
      </c>
      <c r="F4" s="8" t="n">
        <v>1</v>
      </c>
      <c r="G4" s="8" t="s">
        <v>52</v>
      </c>
      <c r="H4" s="8" t="s">
        <v>483</v>
      </c>
      <c r="I4" s="8" t="s">
        <v>482</v>
      </c>
      <c r="J4" s="8" t="n">
        <v>3</v>
      </c>
      <c r="K4" s="9" t="s">
        <v>484</v>
      </c>
    </row>
    <row r="5" customFormat="false" ht="15" hidden="false" customHeight="true" outlineLevel="0" collapsed="false">
      <c r="A5" s="8" t="s">
        <v>487</v>
      </c>
      <c r="B5" s="8" t="s">
        <v>383</v>
      </c>
      <c r="C5" s="8" t="n">
        <v>4</v>
      </c>
      <c r="D5" s="8" t="s">
        <v>482</v>
      </c>
      <c r="E5" s="8" t="s">
        <v>383</v>
      </c>
      <c r="F5" s="8" t="n">
        <v>3</v>
      </c>
      <c r="G5" s="8" t="s">
        <v>52</v>
      </c>
      <c r="H5" s="8" t="s">
        <v>483</v>
      </c>
      <c r="I5" s="8" t="s">
        <v>482</v>
      </c>
      <c r="J5" s="8" t="n">
        <v>4</v>
      </c>
      <c r="K5" s="9" t="s">
        <v>484</v>
      </c>
    </row>
    <row r="6" customFormat="false" ht="15" hidden="false" customHeight="true" outlineLevel="0" collapsed="false">
      <c r="A6" s="8" t="s">
        <v>488</v>
      </c>
      <c r="B6" s="8" t="s">
        <v>390</v>
      </c>
      <c r="C6" s="8" t="n">
        <v>5</v>
      </c>
      <c r="D6" s="8" t="s">
        <v>482</v>
      </c>
      <c r="E6" s="8" t="s">
        <v>390</v>
      </c>
      <c r="F6" s="8" t="n">
        <v>4</v>
      </c>
      <c r="G6" s="8" t="s">
        <v>52</v>
      </c>
      <c r="H6" s="8" t="s">
        <v>483</v>
      </c>
      <c r="I6" s="8" t="s">
        <v>482</v>
      </c>
      <c r="J6" s="8" t="n">
        <v>5</v>
      </c>
      <c r="K6" s="9" t="s">
        <v>484</v>
      </c>
    </row>
    <row r="7" customFormat="false" ht="15" hidden="false" customHeight="true" outlineLevel="0" collapsed="false">
      <c r="A7" s="8" t="s">
        <v>489</v>
      </c>
      <c r="B7" s="8" t="s">
        <v>390</v>
      </c>
      <c r="C7" s="8" t="n">
        <v>3</v>
      </c>
      <c r="D7" s="8" t="s">
        <v>483</v>
      </c>
      <c r="E7" s="8" t="s">
        <v>390</v>
      </c>
      <c r="F7" s="8" t="n">
        <v>2</v>
      </c>
      <c r="G7" s="8" t="s">
        <v>52</v>
      </c>
      <c r="H7" s="8" t="s">
        <v>483</v>
      </c>
      <c r="I7" s="8" t="s">
        <v>482</v>
      </c>
      <c r="J7" s="8" t="n">
        <v>6</v>
      </c>
      <c r="K7" s="9" t="s">
        <v>484</v>
      </c>
    </row>
    <row r="8" customFormat="false" ht="15" hidden="false" customHeight="true" outlineLevel="0" collapsed="false">
      <c r="A8" s="8" t="s">
        <v>490</v>
      </c>
      <c r="B8" s="8" t="s">
        <v>390</v>
      </c>
      <c r="C8" s="8" t="n">
        <v>3</v>
      </c>
      <c r="D8" s="8" t="s">
        <v>482</v>
      </c>
      <c r="E8" s="8" t="s">
        <v>390</v>
      </c>
      <c r="F8" s="8" t="n">
        <v>2</v>
      </c>
      <c r="G8" s="8" t="s">
        <v>52</v>
      </c>
      <c r="H8" s="8" t="s">
        <v>483</v>
      </c>
      <c r="I8" s="8" t="s">
        <v>482</v>
      </c>
      <c r="J8" s="8" t="n">
        <v>7</v>
      </c>
      <c r="K8" s="9" t="s">
        <v>484</v>
      </c>
    </row>
    <row r="9" customFormat="false" ht="15" hidden="false" customHeight="true" outlineLevel="0" collapsed="false">
      <c r="A9" s="8" t="s">
        <v>491</v>
      </c>
      <c r="B9" s="8" t="s">
        <v>390</v>
      </c>
      <c r="C9" s="8" t="n">
        <v>4</v>
      </c>
      <c r="D9" s="8" t="s">
        <v>482</v>
      </c>
      <c r="E9" s="8" t="s">
        <v>390</v>
      </c>
      <c r="F9" s="8" t="n">
        <v>3</v>
      </c>
      <c r="G9" s="8" t="s">
        <v>52</v>
      </c>
      <c r="H9" s="8" t="s">
        <v>483</v>
      </c>
      <c r="I9" s="8" t="s">
        <v>482</v>
      </c>
      <c r="J9" s="8" t="n">
        <v>8</v>
      </c>
      <c r="K9" s="9" t="s">
        <v>484</v>
      </c>
    </row>
    <row r="10" customFormat="false" ht="15" hidden="false" customHeight="true" outlineLevel="0" collapsed="false">
      <c r="A10" s="8" t="s">
        <v>124</v>
      </c>
      <c r="B10" s="8" t="s">
        <v>110</v>
      </c>
      <c r="C10" s="8" t="n">
        <v>6</v>
      </c>
      <c r="D10" s="8" t="s">
        <v>482</v>
      </c>
      <c r="E10" s="8" t="s">
        <v>110</v>
      </c>
      <c r="F10" s="8" t="n">
        <v>6</v>
      </c>
      <c r="G10" s="8" t="s">
        <v>381</v>
      </c>
      <c r="H10" s="8" t="s">
        <v>483</v>
      </c>
      <c r="I10" s="8" t="s">
        <v>482</v>
      </c>
      <c r="J10" s="8" t="n">
        <v>9</v>
      </c>
      <c r="K10" s="10" t="s">
        <v>492</v>
      </c>
    </row>
    <row r="11" customFormat="false" ht="15" hidden="false" customHeight="true" outlineLevel="0" collapsed="false">
      <c r="A11" s="8" t="s">
        <v>493</v>
      </c>
      <c r="B11" s="8" t="s">
        <v>110</v>
      </c>
      <c r="C11" s="8" t="n">
        <v>6</v>
      </c>
      <c r="D11" s="8" t="s">
        <v>482</v>
      </c>
      <c r="E11" s="8" t="s">
        <v>110</v>
      </c>
      <c r="F11" s="8" t="n">
        <v>6</v>
      </c>
      <c r="G11" s="8" t="s">
        <v>494</v>
      </c>
      <c r="H11" s="8" t="s">
        <v>483</v>
      </c>
      <c r="I11" s="8" t="s">
        <v>482</v>
      </c>
      <c r="J11" s="8" t="n">
        <v>10</v>
      </c>
      <c r="K11" s="10" t="s">
        <v>492</v>
      </c>
    </row>
    <row r="12" customFormat="false" ht="15" hidden="false" customHeight="true" outlineLevel="0" collapsed="false">
      <c r="A12" s="8" t="s">
        <v>495</v>
      </c>
      <c r="B12" s="8" t="s">
        <v>496</v>
      </c>
      <c r="C12" s="8" t="n">
        <v>7</v>
      </c>
      <c r="D12" s="8" t="s">
        <v>483</v>
      </c>
      <c r="E12" s="8" t="s">
        <v>110</v>
      </c>
      <c r="F12" s="8" t="n">
        <v>8</v>
      </c>
      <c r="G12" s="8" t="s">
        <v>497</v>
      </c>
      <c r="H12" s="8" t="s">
        <v>483</v>
      </c>
      <c r="I12" s="8" t="s">
        <v>482</v>
      </c>
      <c r="J12" s="8" t="n">
        <v>11</v>
      </c>
      <c r="K12" s="10" t="s">
        <v>492</v>
      </c>
    </row>
    <row r="13" customFormat="false" ht="15" hidden="false" customHeight="true" outlineLevel="0" collapsed="false">
      <c r="A13" s="8" t="s">
        <v>498</v>
      </c>
      <c r="B13" s="8" t="s">
        <v>110</v>
      </c>
      <c r="C13" s="8" t="n">
        <v>7</v>
      </c>
      <c r="D13" s="8" t="s">
        <v>483</v>
      </c>
      <c r="E13" s="8" t="s">
        <v>110</v>
      </c>
      <c r="F13" s="8" t="n">
        <v>8</v>
      </c>
      <c r="G13" s="8" t="s">
        <v>52</v>
      </c>
      <c r="H13" s="8" t="s">
        <v>482</v>
      </c>
      <c r="I13" s="8" t="s">
        <v>482</v>
      </c>
      <c r="J13" s="8" t="n">
        <v>12</v>
      </c>
      <c r="K13" s="10" t="s">
        <v>492</v>
      </c>
    </row>
    <row r="14" customFormat="false" ht="15" hidden="false" customHeight="true" outlineLevel="0" collapsed="false">
      <c r="A14" s="8" t="s">
        <v>133</v>
      </c>
      <c r="B14" s="8" t="s">
        <v>425</v>
      </c>
      <c r="C14" s="8" t="n">
        <v>7</v>
      </c>
      <c r="D14" s="8" t="s">
        <v>483</v>
      </c>
      <c r="E14" s="8" t="s">
        <v>425</v>
      </c>
      <c r="F14" s="8" t="n">
        <v>10</v>
      </c>
      <c r="G14" s="8" t="s">
        <v>499</v>
      </c>
      <c r="H14" s="8" t="s">
        <v>482</v>
      </c>
      <c r="I14" s="8" t="s">
        <v>482</v>
      </c>
      <c r="J14" s="8" t="n">
        <v>13</v>
      </c>
      <c r="K14" s="10" t="s">
        <v>492</v>
      </c>
    </row>
    <row r="15" customFormat="false" ht="15" hidden="false" customHeight="true" outlineLevel="0" collapsed="false">
      <c r="A15" s="8" t="s">
        <v>500</v>
      </c>
      <c r="B15" s="8" t="s">
        <v>425</v>
      </c>
      <c r="C15" s="8" t="n">
        <v>6</v>
      </c>
      <c r="D15" s="8" t="s">
        <v>483</v>
      </c>
      <c r="E15" s="8" t="s">
        <v>425</v>
      </c>
      <c r="F15" s="8" t="n">
        <v>6</v>
      </c>
      <c r="G15" s="8" t="s">
        <v>52</v>
      </c>
      <c r="H15" s="8" t="s">
        <v>482</v>
      </c>
      <c r="I15" s="8" t="s">
        <v>482</v>
      </c>
      <c r="J15" s="8" t="n">
        <v>14</v>
      </c>
      <c r="K15" s="10" t="s">
        <v>492</v>
      </c>
    </row>
    <row r="16" customFormat="false" ht="15" hidden="false" customHeight="true" outlineLevel="0" collapsed="false">
      <c r="A16" s="8" t="s">
        <v>501</v>
      </c>
      <c r="B16" s="8" t="s">
        <v>425</v>
      </c>
      <c r="C16" s="8" t="n">
        <v>6</v>
      </c>
      <c r="D16" s="8" t="s">
        <v>482</v>
      </c>
      <c r="E16" s="8" t="s">
        <v>425</v>
      </c>
      <c r="F16" s="8" t="n">
        <v>6</v>
      </c>
      <c r="G16" s="8" t="s">
        <v>502</v>
      </c>
      <c r="H16" s="8" t="s">
        <v>483</v>
      </c>
      <c r="I16" s="8" t="s">
        <v>482</v>
      </c>
      <c r="J16" s="8" t="n">
        <v>15</v>
      </c>
      <c r="K16" s="10" t="s">
        <v>492</v>
      </c>
    </row>
    <row r="17" customFormat="false" ht="15" hidden="false" customHeight="true" outlineLevel="0" collapsed="false">
      <c r="A17" s="8" t="s">
        <v>503</v>
      </c>
      <c r="B17" s="8" t="s">
        <v>425</v>
      </c>
      <c r="C17" s="8" t="n">
        <v>7</v>
      </c>
      <c r="D17" s="8" t="s">
        <v>482</v>
      </c>
      <c r="E17" s="8" t="s">
        <v>425</v>
      </c>
      <c r="F17" s="8" t="n">
        <v>8</v>
      </c>
      <c r="G17" s="8" t="s">
        <v>504</v>
      </c>
      <c r="H17" s="8" t="s">
        <v>483</v>
      </c>
      <c r="I17" s="8" t="s">
        <v>482</v>
      </c>
      <c r="J17" s="8" t="n">
        <v>16</v>
      </c>
      <c r="K17" s="10" t="s">
        <v>492</v>
      </c>
    </row>
    <row r="18" customFormat="false" ht="15" hidden="false" customHeight="true" outlineLevel="0" collapsed="false">
      <c r="A18" s="8" t="s">
        <v>505</v>
      </c>
      <c r="B18" s="8" t="s">
        <v>425</v>
      </c>
      <c r="C18" s="8" t="n">
        <v>6</v>
      </c>
      <c r="D18" s="8" t="s">
        <v>483</v>
      </c>
      <c r="E18" s="8" t="s">
        <v>425</v>
      </c>
      <c r="F18" s="8" t="n">
        <v>6</v>
      </c>
      <c r="G18" s="8" t="s">
        <v>417</v>
      </c>
      <c r="H18" s="8" t="s">
        <v>482</v>
      </c>
      <c r="I18" s="8" t="s">
        <v>482</v>
      </c>
      <c r="J18" s="8" t="n">
        <v>17</v>
      </c>
      <c r="K18" s="10" t="s">
        <v>492</v>
      </c>
    </row>
    <row r="19" customFormat="false" ht="15" hidden="false" customHeight="true" outlineLevel="0" collapsed="false">
      <c r="A19" s="8" t="s">
        <v>506</v>
      </c>
      <c r="B19" s="8" t="s">
        <v>110</v>
      </c>
      <c r="C19" s="8" t="n">
        <v>5</v>
      </c>
      <c r="D19" s="8" t="s">
        <v>482</v>
      </c>
      <c r="E19" s="8" t="s">
        <v>110</v>
      </c>
      <c r="F19" s="8" t="n">
        <v>4</v>
      </c>
      <c r="G19" s="8" t="s">
        <v>355</v>
      </c>
      <c r="H19" s="8" t="s">
        <v>483</v>
      </c>
      <c r="I19" s="8" t="s">
        <v>482</v>
      </c>
      <c r="J19" s="8" t="n">
        <v>18</v>
      </c>
      <c r="K19" s="10" t="s">
        <v>492</v>
      </c>
    </row>
    <row r="20" customFormat="false" ht="15" hidden="false" customHeight="true" outlineLevel="0" collapsed="false">
      <c r="A20" s="8" t="s">
        <v>507</v>
      </c>
      <c r="B20" s="8" t="s">
        <v>110</v>
      </c>
      <c r="C20" s="8" t="n">
        <v>4</v>
      </c>
      <c r="D20" s="8" t="s">
        <v>483</v>
      </c>
      <c r="E20" s="8" t="s">
        <v>110</v>
      </c>
      <c r="F20" s="8" t="n">
        <v>3</v>
      </c>
      <c r="G20" s="8" t="s">
        <v>508</v>
      </c>
      <c r="H20" s="8" t="s">
        <v>483</v>
      </c>
      <c r="I20" s="8" t="s">
        <v>482</v>
      </c>
      <c r="J20" s="8" t="n">
        <v>19</v>
      </c>
      <c r="K20" s="10" t="s">
        <v>492</v>
      </c>
    </row>
    <row r="21" customFormat="false" ht="15" hidden="false" customHeight="true" outlineLevel="0" collapsed="false">
      <c r="A21" s="8" t="s">
        <v>509</v>
      </c>
      <c r="B21" s="8" t="s">
        <v>452</v>
      </c>
      <c r="C21" s="8" t="n">
        <v>7</v>
      </c>
      <c r="D21" s="8" t="s">
        <v>483</v>
      </c>
      <c r="E21" s="8" t="s">
        <v>452</v>
      </c>
      <c r="F21" s="8" t="n">
        <v>8</v>
      </c>
      <c r="G21" s="8" t="s">
        <v>510</v>
      </c>
      <c r="H21" s="8" t="s">
        <v>482</v>
      </c>
      <c r="I21" s="8" t="s">
        <v>483</v>
      </c>
      <c r="J21" s="8" t="n">
        <v>20</v>
      </c>
      <c r="K21" s="11" t="s">
        <v>511</v>
      </c>
    </row>
    <row r="22" customFormat="false" ht="15" hidden="false" customHeight="true" outlineLevel="0" collapsed="false">
      <c r="A22" s="8" t="s">
        <v>512</v>
      </c>
      <c r="B22" s="8" t="s">
        <v>452</v>
      </c>
      <c r="C22" s="8" t="n">
        <v>8</v>
      </c>
      <c r="D22" s="8" t="s">
        <v>483</v>
      </c>
      <c r="E22" s="8" t="s">
        <v>452</v>
      </c>
      <c r="F22" s="8" t="n">
        <v>10</v>
      </c>
      <c r="G22" s="8" t="s">
        <v>513</v>
      </c>
      <c r="H22" s="8" t="s">
        <v>482</v>
      </c>
      <c r="I22" s="8" t="s">
        <v>483</v>
      </c>
      <c r="J22" s="8" t="n">
        <v>21</v>
      </c>
      <c r="K22" s="11" t="s">
        <v>511</v>
      </c>
    </row>
    <row r="23" customFormat="false" ht="15" hidden="false" customHeight="true" outlineLevel="0" collapsed="false">
      <c r="A23" s="8" t="s">
        <v>514</v>
      </c>
      <c r="B23" s="8" t="s">
        <v>452</v>
      </c>
      <c r="C23" s="8" t="n">
        <v>8</v>
      </c>
      <c r="D23" s="8" t="s">
        <v>483</v>
      </c>
      <c r="E23" s="8" t="s">
        <v>452</v>
      </c>
      <c r="F23" s="8" t="n">
        <v>10</v>
      </c>
      <c r="G23" s="8" t="s">
        <v>515</v>
      </c>
      <c r="H23" s="8" t="s">
        <v>482</v>
      </c>
      <c r="I23" s="8" t="s">
        <v>483</v>
      </c>
      <c r="J23" s="8" t="n">
        <v>22</v>
      </c>
      <c r="K23" s="11" t="s">
        <v>511</v>
      </c>
    </row>
    <row r="24" customFormat="false" ht="15" hidden="false" customHeight="true" outlineLevel="0" collapsed="false">
      <c r="A24" s="8" t="s">
        <v>516</v>
      </c>
      <c r="B24" s="8" t="s">
        <v>452</v>
      </c>
      <c r="C24" s="8" t="n">
        <v>9</v>
      </c>
      <c r="D24" s="8" t="s">
        <v>483</v>
      </c>
      <c r="E24" s="8" t="s">
        <v>452</v>
      </c>
      <c r="F24" s="8" t="n">
        <v>12</v>
      </c>
      <c r="G24" s="8" t="s">
        <v>517</v>
      </c>
      <c r="H24" s="8" t="s">
        <v>482</v>
      </c>
      <c r="I24" s="8" t="s">
        <v>483</v>
      </c>
      <c r="J24" s="8" t="n">
        <v>23</v>
      </c>
      <c r="K24" s="11" t="s">
        <v>511</v>
      </c>
    </row>
    <row r="25" customFormat="false" ht="15" hidden="false" customHeight="true" outlineLevel="0" collapsed="false">
      <c r="A25" s="8" t="s">
        <v>518</v>
      </c>
      <c r="B25" s="8" t="s">
        <v>452</v>
      </c>
      <c r="C25" s="8" t="n">
        <v>7</v>
      </c>
      <c r="D25" s="8" t="s">
        <v>483</v>
      </c>
      <c r="E25" s="8" t="s">
        <v>452</v>
      </c>
      <c r="F25" s="8" t="n">
        <v>8</v>
      </c>
      <c r="G25" s="8" t="s">
        <v>510</v>
      </c>
      <c r="H25" s="8" t="s">
        <v>482</v>
      </c>
      <c r="I25" s="8" t="s">
        <v>483</v>
      </c>
      <c r="J25" s="8" t="n">
        <v>24</v>
      </c>
      <c r="K25" s="11" t="s">
        <v>511</v>
      </c>
    </row>
    <row r="26" customFormat="false" ht="15" hidden="false" customHeight="true" outlineLevel="0" collapsed="false">
      <c r="A26" s="8" t="s">
        <v>519</v>
      </c>
      <c r="B26" s="8" t="s">
        <v>458</v>
      </c>
      <c r="C26" s="8" t="n">
        <v>8</v>
      </c>
      <c r="D26" s="8" t="s">
        <v>483</v>
      </c>
      <c r="E26" s="8" t="s">
        <v>458</v>
      </c>
      <c r="F26" s="8" t="n">
        <v>16</v>
      </c>
      <c r="G26" s="8" t="s">
        <v>502</v>
      </c>
      <c r="H26" s="8" t="s">
        <v>482</v>
      </c>
      <c r="I26" s="8" t="s">
        <v>483</v>
      </c>
      <c r="J26" s="8" t="n">
        <v>25</v>
      </c>
      <c r="K26" s="11" t="s">
        <v>511</v>
      </c>
    </row>
    <row r="27" customFormat="false" ht="15" hidden="false" customHeight="true" outlineLevel="0" collapsed="false">
      <c r="A27" s="8" t="s">
        <v>520</v>
      </c>
      <c r="B27" s="8" t="s">
        <v>458</v>
      </c>
      <c r="C27" s="8" t="n">
        <v>7</v>
      </c>
      <c r="D27" s="8" t="s">
        <v>483</v>
      </c>
      <c r="E27" s="8" t="s">
        <v>458</v>
      </c>
      <c r="F27" s="8" t="n">
        <v>8</v>
      </c>
      <c r="G27" s="8" t="s">
        <v>521</v>
      </c>
      <c r="H27" s="8" t="s">
        <v>482</v>
      </c>
      <c r="I27" s="8" t="s">
        <v>483</v>
      </c>
      <c r="J27" s="8" t="n">
        <v>26</v>
      </c>
      <c r="K27" s="11" t="s">
        <v>511</v>
      </c>
    </row>
    <row r="28" customFormat="false" ht="15" hidden="false" customHeight="true" outlineLevel="0" collapsed="false">
      <c r="A28" s="8" t="s">
        <v>522</v>
      </c>
      <c r="B28" s="8" t="s">
        <v>452</v>
      </c>
      <c r="C28" s="8" t="n">
        <v>7</v>
      </c>
      <c r="D28" s="8" t="s">
        <v>483</v>
      </c>
      <c r="E28" s="8" t="s">
        <v>452</v>
      </c>
      <c r="F28" s="8" t="n">
        <v>8</v>
      </c>
      <c r="G28" s="8" t="s">
        <v>523</v>
      </c>
      <c r="H28" s="8" t="s">
        <v>482</v>
      </c>
      <c r="I28" s="8" t="s">
        <v>483</v>
      </c>
      <c r="J28" s="8" t="n">
        <v>27</v>
      </c>
      <c r="K28" s="11" t="s">
        <v>511</v>
      </c>
    </row>
    <row r="29" customFormat="false" ht="15" hidden="false" customHeight="true" outlineLevel="0" collapsed="false">
      <c r="A29" s="8" t="s">
        <v>524</v>
      </c>
      <c r="B29" s="8" t="s">
        <v>452</v>
      </c>
      <c r="C29" s="8" t="n">
        <v>6</v>
      </c>
      <c r="D29" s="8" t="s">
        <v>483</v>
      </c>
      <c r="E29" s="8" t="s">
        <v>452</v>
      </c>
      <c r="F29" s="8" t="n">
        <v>6</v>
      </c>
      <c r="G29" s="8" t="s">
        <v>508</v>
      </c>
      <c r="H29" s="8" t="s">
        <v>482</v>
      </c>
      <c r="I29" s="8" t="s">
        <v>483</v>
      </c>
      <c r="J29" s="8" t="n">
        <v>28</v>
      </c>
      <c r="K29" s="11" t="s">
        <v>511</v>
      </c>
    </row>
    <row r="30" customFormat="false" ht="15" hidden="false" customHeight="true" outlineLevel="0" collapsed="false">
      <c r="A30" s="8" t="s">
        <v>525</v>
      </c>
      <c r="B30" s="8" t="s">
        <v>526</v>
      </c>
      <c r="C30" s="8" t="n">
        <v>9</v>
      </c>
      <c r="D30" s="8" t="s">
        <v>483</v>
      </c>
      <c r="E30" s="8" t="s">
        <v>526</v>
      </c>
      <c r="F30" s="8" t="n">
        <v>16</v>
      </c>
      <c r="G30" s="8" t="s">
        <v>527</v>
      </c>
      <c r="H30" s="8" t="s">
        <v>482</v>
      </c>
      <c r="I30" s="8" t="s">
        <v>483</v>
      </c>
      <c r="J30" s="8" t="n">
        <v>29</v>
      </c>
      <c r="K30" s="12" t="s">
        <v>528</v>
      </c>
    </row>
    <row r="31" customFormat="false" ht="15" hidden="false" customHeight="true" outlineLevel="0" collapsed="false">
      <c r="A31" s="8" t="s">
        <v>529</v>
      </c>
      <c r="B31" s="8" t="s">
        <v>526</v>
      </c>
      <c r="C31" s="8" t="n">
        <v>10</v>
      </c>
      <c r="D31" s="8" t="s">
        <v>483</v>
      </c>
      <c r="E31" s="8" t="s">
        <v>526</v>
      </c>
      <c r="F31" s="8" t="n">
        <v>52</v>
      </c>
      <c r="G31" s="8" t="s">
        <v>530</v>
      </c>
      <c r="H31" s="8" t="s">
        <v>482</v>
      </c>
      <c r="I31" s="8" t="s">
        <v>483</v>
      </c>
      <c r="J31" s="8" t="n">
        <v>30</v>
      </c>
      <c r="K31" s="12" t="s">
        <v>528</v>
      </c>
    </row>
    <row r="32" customFormat="false" ht="15" hidden="false" customHeight="true" outlineLevel="0" collapsed="false">
      <c r="A32" s="8" t="s">
        <v>531</v>
      </c>
      <c r="B32" s="8" t="s">
        <v>526</v>
      </c>
      <c r="C32" s="8" t="n">
        <v>10</v>
      </c>
      <c r="D32" s="8" t="s">
        <v>483</v>
      </c>
      <c r="E32" s="8" t="s">
        <v>526</v>
      </c>
      <c r="F32" s="8" t="n">
        <v>52</v>
      </c>
      <c r="G32" s="8" t="s">
        <v>530</v>
      </c>
      <c r="H32" s="8" t="s">
        <v>482</v>
      </c>
      <c r="I32" s="8" t="s">
        <v>483</v>
      </c>
      <c r="J32" s="8" t="n">
        <v>31</v>
      </c>
      <c r="K32" s="12" t="s">
        <v>528</v>
      </c>
    </row>
    <row r="33" customFormat="false" ht="15" hidden="false" customHeight="true" outlineLevel="0" collapsed="false">
      <c r="A33" s="8" t="s">
        <v>532</v>
      </c>
      <c r="B33" s="8" t="s">
        <v>526</v>
      </c>
      <c r="C33" s="8" t="n">
        <v>10</v>
      </c>
      <c r="D33" s="8" t="s">
        <v>483</v>
      </c>
      <c r="E33" s="8" t="s">
        <v>526</v>
      </c>
      <c r="F33" s="8" t="n">
        <v>26</v>
      </c>
      <c r="G33" s="8" t="s">
        <v>527</v>
      </c>
      <c r="H33" s="8" t="s">
        <v>482</v>
      </c>
      <c r="I33" s="8" t="s">
        <v>483</v>
      </c>
      <c r="J33" s="8" t="n">
        <v>32</v>
      </c>
      <c r="K33" s="12" t="s">
        <v>528</v>
      </c>
    </row>
    <row r="34" customFormat="false" ht="15" hidden="false" customHeight="true" outlineLevel="0" collapsed="false">
      <c r="A34" s="8" t="s">
        <v>533</v>
      </c>
      <c r="B34" s="8" t="s">
        <v>526</v>
      </c>
      <c r="C34" s="8" t="n">
        <v>9</v>
      </c>
      <c r="D34" s="8" t="s">
        <v>483</v>
      </c>
      <c r="E34" s="8" t="s">
        <v>526</v>
      </c>
      <c r="F34" s="8" t="n">
        <v>26</v>
      </c>
      <c r="G34" s="8" t="s">
        <v>530</v>
      </c>
      <c r="H34" s="8" t="s">
        <v>482</v>
      </c>
      <c r="I34" s="8" t="s">
        <v>483</v>
      </c>
      <c r="J34" s="8" t="n">
        <v>33</v>
      </c>
      <c r="K34" s="12" t="s">
        <v>528</v>
      </c>
    </row>
    <row r="35" customFormat="false" ht="15" hidden="false" customHeight="true" outlineLevel="0" collapsed="false">
      <c r="A35" s="8" t="s">
        <v>534</v>
      </c>
      <c r="B35" s="8" t="s">
        <v>535</v>
      </c>
      <c r="C35" s="8" t="n">
        <v>10</v>
      </c>
      <c r="D35" s="8" t="s">
        <v>483</v>
      </c>
      <c r="E35" s="8" t="s">
        <v>535</v>
      </c>
      <c r="F35" s="8" t="n">
        <v>99</v>
      </c>
      <c r="G35" s="8" t="s">
        <v>530</v>
      </c>
      <c r="H35" s="8" t="s">
        <v>482</v>
      </c>
      <c r="I35" s="8" t="s">
        <v>483</v>
      </c>
      <c r="J35" s="8" t="n">
        <v>34</v>
      </c>
      <c r="K35" s="12" t="s">
        <v>528</v>
      </c>
    </row>
    <row r="36" customFormat="false" ht="15" hidden="false" customHeight="true" outlineLevel="0" collapsed="false">
      <c r="A36" s="8" t="s">
        <v>536</v>
      </c>
      <c r="B36" s="8" t="s">
        <v>535</v>
      </c>
      <c r="C36" s="8" t="n">
        <v>10</v>
      </c>
      <c r="D36" s="8" t="s">
        <v>483</v>
      </c>
      <c r="E36" s="8" t="s">
        <v>535</v>
      </c>
      <c r="F36" s="8" t="n">
        <v>99</v>
      </c>
      <c r="G36" s="8" t="s">
        <v>537</v>
      </c>
      <c r="H36" s="8" t="s">
        <v>482</v>
      </c>
      <c r="I36" s="8" t="s">
        <v>483</v>
      </c>
      <c r="J36" s="8" t="n">
        <v>35</v>
      </c>
      <c r="K36" s="12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28"/>
    <col collapsed="false" customWidth="true" hidden="false" outlineLevel="0" max="8" min="8" style="1" width="18"/>
    <col collapsed="false" customWidth="true" hidden="false" outlineLevel="0" max="9" min="9" style="1" width="25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39.75" hidden="false" customHeight="true" outlineLevel="0" collapsed="false">
      <c r="A1" s="2" t="s">
        <v>538</v>
      </c>
      <c r="B1" s="2" t="s">
        <v>539</v>
      </c>
      <c r="C1" s="2" t="s">
        <v>540</v>
      </c>
      <c r="D1" s="2" t="s">
        <v>541</v>
      </c>
      <c r="E1" s="2" t="s">
        <v>542</v>
      </c>
      <c r="F1" s="2" t="s">
        <v>543</v>
      </c>
      <c r="G1" s="2" t="s">
        <v>544</v>
      </c>
      <c r="H1" s="2" t="s">
        <v>545</v>
      </c>
      <c r="I1" s="2" t="s">
        <v>546</v>
      </c>
      <c r="J1" s="2" t="s">
        <v>547</v>
      </c>
      <c r="K1" s="2" t="s">
        <v>264</v>
      </c>
    </row>
    <row r="2" customFormat="false" ht="15" hidden="false" customHeight="true" outlineLevel="0" collapsed="false">
      <c r="A2" s="8" t="s">
        <v>548</v>
      </c>
      <c r="B2" s="8" t="s">
        <v>549</v>
      </c>
      <c r="C2" s="8" t="s">
        <v>550</v>
      </c>
      <c r="D2" s="8" t="n">
        <v>3</v>
      </c>
      <c r="E2" s="8" t="n">
        <v>5</v>
      </c>
      <c r="F2" s="8" t="n">
        <f aca="false">D2*E2</f>
        <v>15</v>
      </c>
      <c r="G2" s="8" t="s">
        <v>551</v>
      </c>
      <c r="H2" s="8" t="s">
        <v>552</v>
      </c>
      <c r="I2" s="8" t="s">
        <v>553</v>
      </c>
      <c r="J2" s="8" t="s">
        <v>373</v>
      </c>
      <c r="K2" s="8" t="s">
        <v>554</v>
      </c>
    </row>
    <row r="3" customFormat="false" ht="21.75" hidden="false" customHeight="true" outlineLevel="0" collapsed="false">
      <c r="A3" s="8" t="s">
        <v>555</v>
      </c>
      <c r="B3" s="8" t="s">
        <v>556</v>
      </c>
      <c r="C3" s="8" t="s">
        <v>550</v>
      </c>
      <c r="D3" s="8" t="n">
        <v>3</v>
      </c>
      <c r="E3" s="8" t="n">
        <v>4</v>
      </c>
      <c r="F3" s="8" t="n">
        <f aca="false">D3*E3</f>
        <v>12</v>
      </c>
      <c r="G3" s="8" t="s">
        <v>557</v>
      </c>
      <c r="H3" s="8" t="s">
        <v>552</v>
      </c>
      <c r="I3" s="8" t="s">
        <v>558</v>
      </c>
      <c r="J3" s="8" t="s">
        <v>373</v>
      </c>
      <c r="K3" s="8" t="s">
        <v>554</v>
      </c>
    </row>
    <row r="4" customFormat="false" ht="21.75" hidden="false" customHeight="true" outlineLevel="0" collapsed="false">
      <c r="A4" s="8" t="s">
        <v>559</v>
      </c>
      <c r="B4" s="8" t="s">
        <v>560</v>
      </c>
      <c r="C4" s="8" t="s">
        <v>561</v>
      </c>
      <c r="D4" s="8" t="n">
        <v>4</v>
      </c>
      <c r="E4" s="8" t="n">
        <v>5</v>
      </c>
      <c r="F4" s="8" t="n">
        <f aca="false">D4*E4</f>
        <v>20</v>
      </c>
      <c r="G4" s="8" t="s">
        <v>562</v>
      </c>
      <c r="H4" s="8" t="s">
        <v>552</v>
      </c>
      <c r="I4" s="8" t="s">
        <v>563</v>
      </c>
      <c r="J4" s="8" t="s">
        <v>383</v>
      </c>
      <c r="K4" s="8" t="s">
        <v>554</v>
      </c>
    </row>
    <row r="5" customFormat="false" ht="15" hidden="false" customHeight="true" outlineLevel="0" collapsed="false">
      <c r="A5" s="8" t="s">
        <v>564</v>
      </c>
      <c r="B5" s="8" t="s">
        <v>565</v>
      </c>
      <c r="C5" s="8" t="s">
        <v>550</v>
      </c>
      <c r="D5" s="8" t="n">
        <v>3</v>
      </c>
      <c r="E5" s="8" t="n">
        <v>5</v>
      </c>
      <c r="F5" s="8" t="n">
        <f aca="false">D5*E5</f>
        <v>15</v>
      </c>
      <c r="G5" s="8" t="s">
        <v>566</v>
      </c>
      <c r="H5" s="8" t="s">
        <v>552</v>
      </c>
      <c r="I5" s="8" t="s">
        <v>567</v>
      </c>
      <c r="J5" s="8" t="s">
        <v>383</v>
      </c>
      <c r="K5" s="8" t="s">
        <v>554</v>
      </c>
    </row>
    <row r="6" customFormat="false" ht="15" hidden="false" customHeight="true" outlineLevel="0" collapsed="false">
      <c r="A6" s="8" t="s">
        <v>568</v>
      </c>
      <c r="B6" s="8" t="s">
        <v>569</v>
      </c>
      <c r="C6" s="8" t="s">
        <v>570</v>
      </c>
      <c r="D6" s="8" t="n">
        <v>2</v>
      </c>
      <c r="E6" s="8" t="n">
        <v>4</v>
      </c>
      <c r="F6" s="8" t="n">
        <f aca="false">D6*E6</f>
        <v>8</v>
      </c>
      <c r="G6" s="8" t="s">
        <v>571</v>
      </c>
      <c r="H6" s="8" t="s">
        <v>572</v>
      </c>
      <c r="I6" s="8" t="s">
        <v>573</v>
      </c>
      <c r="J6" s="8" t="s">
        <v>574</v>
      </c>
      <c r="K6" s="8" t="s">
        <v>575</v>
      </c>
    </row>
    <row r="7" customFormat="false" ht="15" hidden="false" customHeight="true" outlineLevel="0" collapsed="false">
      <c r="A7" s="8" t="s">
        <v>576</v>
      </c>
      <c r="B7" s="8" t="s">
        <v>577</v>
      </c>
      <c r="C7" s="8" t="s">
        <v>578</v>
      </c>
      <c r="D7" s="8" t="n">
        <v>3</v>
      </c>
      <c r="E7" s="8" t="n">
        <v>4</v>
      </c>
      <c r="F7" s="8" t="n">
        <f aca="false">D7*E7</f>
        <v>12</v>
      </c>
      <c r="G7" s="8" t="s">
        <v>579</v>
      </c>
      <c r="H7" s="8" t="s">
        <v>580</v>
      </c>
      <c r="I7" s="8" t="s">
        <v>581</v>
      </c>
      <c r="J7" s="8" t="s">
        <v>390</v>
      </c>
      <c r="K7" s="8" t="s">
        <v>554</v>
      </c>
    </row>
    <row r="8" customFormat="false" ht="15" hidden="false" customHeight="true" outlineLevel="0" collapsed="false">
      <c r="A8" s="8" t="s">
        <v>582</v>
      </c>
      <c r="B8" s="8" t="s">
        <v>583</v>
      </c>
      <c r="C8" s="8" t="s">
        <v>561</v>
      </c>
      <c r="D8" s="8" t="n">
        <v>3</v>
      </c>
      <c r="E8" s="8" t="n">
        <v>3</v>
      </c>
      <c r="F8" s="8" t="n">
        <f aca="false">D8*E8</f>
        <v>9</v>
      </c>
      <c r="G8" s="8" t="s">
        <v>584</v>
      </c>
      <c r="H8" s="8" t="s">
        <v>585</v>
      </c>
      <c r="I8" s="8" t="s">
        <v>586</v>
      </c>
      <c r="J8" s="8" t="s">
        <v>574</v>
      </c>
      <c r="K8" s="8" t="s">
        <v>554</v>
      </c>
    </row>
    <row r="9" customFormat="false" ht="21.75" hidden="false" customHeight="true" outlineLevel="0" collapsed="false">
      <c r="A9" s="8" t="s">
        <v>587</v>
      </c>
      <c r="B9" s="8" t="s">
        <v>588</v>
      </c>
      <c r="C9" s="8" t="s">
        <v>578</v>
      </c>
      <c r="D9" s="8" t="n">
        <v>3</v>
      </c>
      <c r="E9" s="8" t="n">
        <v>5</v>
      </c>
      <c r="F9" s="8" t="n">
        <f aca="false">D9*E9</f>
        <v>15</v>
      </c>
      <c r="G9" s="8" t="s">
        <v>589</v>
      </c>
      <c r="H9" s="8" t="s">
        <v>590</v>
      </c>
      <c r="I9" s="8" t="s">
        <v>591</v>
      </c>
      <c r="J9" s="8" t="s">
        <v>592</v>
      </c>
      <c r="K9" s="8" t="s">
        <v>554</v>
      </c>
    </row>
    <row r="10" customFormat="false" ht="21.75" hidden="false" customHeight="true" outlineLevel="0" collapsed="false">
      <c r="A10" s="8" t="s">
        <v>593</v>
      </c>
      <c r="B10" s="8" t="s">
        <v>240</v>
      </c>
      <c r="C10" s="8" t="s">
        <v>594</v>
      </c>
      <c r="D10" s="8" t="n">
        <v>2</v>
      </c>
      <c r="E10" s="8" t="n">
        <v>4</v>
      </c>
      <c r="F10" s="8" t="n">
        <f aca="false">D10*E10</f>
        <v>8</v>
      </c>
      <c r="G10" s="8" t="s">
        <v>595</v>
      </c>
      <c r="H10" s="8" t="s">
        <v>521</v>
      </c>
      <c r="I10" s="8" t="s">
        <v>596</v>
      </c>
      <c r="J10" s="8" t="s">
        <v>83</v>
      </c>
      <c r="K10" s="8" t="s">
        <v>575</v>
      </c>
    </row>
    <row r="11" customFormat="false" ht="15" hidden="false" customHeight="true" outlineLevel="0" collapsed="false">
      <c r="A11" s="8" t="s">
        <v>597</v>
      </c>
      <c r="B11" s="8" t="s">
        <v>598</v>
      </c>
      <c r="C11" s="8" t="s">
        <v>550</v>
      </c>
      <c r="D11" s="8" t="n">
        <v>3</v>
      </c>
      <c r="E11" s="8" t="n">
        <v>3</v>
      </c>
      <c r="F11" s="8" t="n">
        <f aca="false">D11*E11</f>
        <v>9</v>
      </c>
      <c r="G11" s="8" t="s">
        <v>599</v>
      </c>
      <c r="H11" s="8" t="s">
        <v>552</v>
      </c>
      <c r="I11" s="8" t="s">
        <v>600</v>
      </c>
      <c r="J11" s="8" t="s">
        <v>105</v>
      </c>
      <c r="K11" s="8" t="s">
        <v>575</v>
      </c>
    </row>
    <row r="12" customFormat="false" ht="15" hidden="false" customHeight="true" outlineLevel="0" collapsed="false">
      <c r="A12" s="8" t="s">
        <v>601</v>
      </c>
      <c r="B12" s="8" t="s">
        <v>602</v>
      </c>
      <c r="C12" s="8" t="s">
        <v>594</v>
      </c>
      <c r="D12" s="8" t="n">
        <v>2</v>
      </c>
      <c r="E12" s="8" t="n">
        <v>5</v>
      </c>
      <c r="F12" s="8" t="n">
        <f aca="false">D12*E12</f>
        <v>10</v>
      </c>
      <c r="G12" s="8" t="s">
        <v>603</v>
      </c>
      <c r="H12" s="8" t="s">
        <v>604</v>
      </c>
      <c r="I12" s="8" t="s">
        <v>605</v>
      </c>
      <c r="J12" s="8" t="s">
        <v>105</v>
      </c>
      <c r="K12" s="8" t="s">
        <v>575</v>
      </c>
    </row>
    <row r="13" customFormat="false" ht="15" hidden="false" customHeight="true" outlineLevel="0" collapsed="false">
      <c r="A13" s="8" t="s">
        <v>606</v>
      </c>
      <c r="B13" s="8" t="s">
        <v>607</v>
      </c>
      <c r="C13" s="8" t="s">
        <v>570</v>
      </c>
      <c r="D13" s="8" t="n">
        <v>2</v>
      </c>
      <c r="E13" s="8" t="n">
        <v>4</v>
      </c>
      <c r="F13" s="8" t="n">
        <f aca="false">D13*E13</f>
        <v>8</v>
      </c>
      <c r="G13" s="8" t="s">
        <v>608</v>
      </c>
      <c r="H13" s="8" t="s">
        <v>572</v>
      </c>
      <c r="I13" s="8" t="s">
        <v>609</v>
      </c>
      <c r="J13" s="8" t="s">
        <v>105</v>
      </c>
      <c r="K13" s="8" t="s">
        <v>575</v>
      </c>
    </row>
    <row r="14" customFormat="false" ht="21.75" hidden="false" customHeight="true" outlineLevel="0" collapsed="false">
      <c r="A14" s="8" t="s">
        <v>610</v>
      </c>
      <c r="B14" s="8" t="s">
        <v>611</v>
      </c>
      <c r="C14" s="8" t="s">
        <v>561</v>
      </c>
      <c r="D14" s="8" t="n">
        <v>3</v>
      </c>
      <c r="E14" s="8" t="n">
        <v>5</v>
      </c>
      <c r="F14" s="8" t="n">
        <f aca="false">D14*E14</f>
        <v>15</v>
      </c>
      <c r="G14" s="8" t="s">
        <v>612</v>
      </c>
      <c r="H14" s="8" t="s">
        <v>552</v>
      </c>
      <c r="I14" s="8" t="s">
        <v>613</v>
      </c>
      <c r="J14" s="8" t="s">
        <v>614</v>
      </c>
      <c r="K14" s="8" t="s">
        <v>10</v>
      </c>
    </row>
    <row r="15" customFormat="false" ht="21.75" hidden="false" customHeight="true" outlineLevel="0" collapsed="false">
      <c r="A15" s="8" t="s">
        <v>615</v>
      </c>
      <c r="B15" s="8" t="s">
        <v>616</v>
      </c>
      <c r="C15" s="8" t="s">
        <v>550</v>
      </c>
      <c r="D15" s="8" t="n">
        <v>4</v>
      </c>
      <c r="E15" s="8" t="n">
        <v>4</v>
      </c>
      <c r="F15" s="8" t="n">
        <f aca="false">D15*E15</f>
        <v>16</v>
      </c>
      <c r="G15" s="8" t="s">
        <v>617</v>
      </c>
      <c r="H15" s="8" t="s">
        <v>552</v>
      </c>
      <c r="I15" s="8" t="s">
        <v>618</v>
      </c>
      <c r="J15" s="8" t="s">
        <v>383</v>
      </c>
      <c r="K15" s="8" t="s">
        <v>10</v>
      </c>
    </row>
    <row r="16" customFormat="false" ht="15" hidden="false" customHeight="true" outlineLevel="0" collapsed="false">
      <c r="A16" s="8" t="s">
        <v>619</v>
      </c>
      <c r="B16" s="8" t="s">
        <v>620</v>
      </c>
      <c r="C16" s="8" t="s">
        <v>561</v>
      </c>
      <c r="D16" s="8" t="n">
        <v>3</v>
      </c>
      <c r="E16" s="8" t="n">
        <v>4</v>
      </c>
      <c r="F16" s="8" t="n">
        <f aca="false">D16*E16</f>
        <v>12</v>
      </c>
      <c r="G16" s="8" t="s">
        <v>621</v>
      </c>
      <c r="H16" s="8" t="s">
        <v>552</v>
      </c>
      <c r="I16" s="8" t="s">
        <v>622</v>
      </c>
      <c r="J16" s="8" t="s">
        <v>574</v>
      </c>
      <c r="K16" s="8" t="s">
        <v>554</v>
      </c>
    </row>
    <row r="17" customFormat="false" ht="21.75" hidden="false" customHeight="true" outlineLevel="0" collapsed="false">
      <c r="A17" s="8" t="s">
        <v>623</v>
      </c>
      <c r="B17" s="8" t="s">
        <v>624</v>
      </c>
      <c r="C17" s="8" t="s">
        <v>561</v>
      </c>
      <c r="D17" s="8" t="n">
        <v>3</v>
      </c>
      <c r="E17" s="8" t="n">
        <v>3</v>
      </c>
      <c r="F17" s="8" t="n">
        <f aca="false">D17*E17</f>
        <v>9</v>
      </c>
      <c r="G17" s="8" t="s">
        <v>625</v>
      </c>
      <c r="H17" s="8" t="s">
        <v>585</v>
      </c>
      <c r="I17" s="8" t="s">
        <v>626</v>
      </c>
      <c r="J17" s="8" t="s">
        <v>574</v>
      </c>
      <c r="K17" s="8" t="s">
        <v>554</v>
      </c>
    </row>
    <row r="18" customFormat="false" ht="21.75" hidden="false" customHeight="true" outlineLevel="0" collapsed="false">
      <c r="A18" s="8" t="s">
        <v>627</v>
      </c>
      <c r="B18" s="8" t="s">
        <v>628</v>
      </c>
      <c r="C18" s="8" t="s">
        <v>550</v>
      </c>
      <c r="D18" s="8" t="n">
        <v>4</v>
      </c>
      <c r="E18" s="8" t="n">
        <v>4</v>
      </c>
      <c r="F18" s="8" t="n">
        <f aca="false">D18*E18</f>
        <v>16</v>
      </c>
      <c r="G18" s="8" t="s">
        <v>629</v>
      </c>
      <c r="H18" s="8" t="s">
        <v>572</v>
      </c>
      <c r="I18" s="8" t="s">
        <v>630</v>
      </c>
      <c r="J18" s="8" t="s">
        <v>383</v>
      </c>
      <c r="K18" s="8" t="s">
        <v>10</v>
      </c>
    </row>
    <row r="19" customFormat="false" ht="21.75" hidden="false" customHeight="true" outlineLevel="0" collapsed="false">
      <c r="A19" s="8" t="s">
        <v>631</v>
      </c>
      <c r="B19" s="8" t="s">
        <v>632</v>
      </c>
      <c r="C19" s="8" t="s">
        <v>570</v>
      </c>
      <c r="D19" s="8" t="n">
        <v>2</v>
      </c>
      <c r="E19" s="8" t="n">
        <v>3</v>
      </c>
      <c r="F19" s="8" t="n">
        <f aca="false">D19*E19</f>
        <v>6</v>
      </c>
      <c r="G19" s="8" t="s">
        <v>633</v>
      </c>
      <c r="H19" s="8" t="s">
        <v>572</v>
      </c>
      <c r="I19" s="8" t="s">
        <v>634</v>
      </c>
      <c r="J19" s="8" t="s">
        <v>105</v>
      </c>
      <c r="K19" s="8" t="s">
        <v>575</v>
      </c>
    </row>
    <row r="20" customFormat="false" ht="21.75" hidden="false" customHeight="true" outlineLevel="0" collapsed="false">
      <c r="A20" s="8" t="s">
        <v>635</v>
      </c>
      <c r="B20" s="8" t="s">
        <v>636</v>
      </c>
      <c r="C20" s="8" t="s">
        <v>578</v>
      </c>
      <c r="D20" s="8" t="n">
        <v>2</v>
      </c>
      <c r="E20" s="8" t="n">
        <v>4</v>
      </c>
      <c r="F20" s="8" t="n">
        <f aca="false">D20*E20</f>
        <v>8</v>
      </c>
      <c r="G20" s="8" t="s">
        <v>637</v>
      </c>
      <c r="H20" s="8" t="s">
        <v>590</v>
      </c>
      <c r="I20" s="8" t="s">
        <v>638</v>
      </c>
      <c r="J20" s="8" t="s">
        <v>574</v>
      </c>
      <c r="K20" s="8" t="s">
        <v>554</v>
      </c>
    </row>
    <row r="21" customFormat="false" ht="15" hidden="false" customHeight="true" outlineLevel="0" collapsed="false">
      <c r="A21" s="8" t="s">
        <v>639</v>
      </c>
      <c r="B21" s="8" t="s">
        <v>640</v>
      </c>
      <c r="C21" s="8" t="s">
        <v>561</v>
      </c>
      <c r="D21" s="8" t="n">
        <v>3</v>
      </c>
      <c r="E21" s="8" t="n">
        <v>5</v>
      </c>
      <c r="F21" s="8" t="n">
        <f aca="false">D21*E21</f>
        <v>15</v>
      </c>
      <c r="G21" s="8" t="s">
        <v>641</v>
      </c>
      <c r="H21" s="8" t="s">
        <v>642</v>
      </c>
      <c r="I21" s="8" t="s">
        <v>643</v>
      </c>
      <c r="J21" s="8" t="s">
        <v>614</v>
      </c>
      <c r="K21" s="8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4"/>
  </cols>
  <sheetData>
    <row r="1" customFormat="false" ht="17.25" hidden="false" customHeight="true" outlineLevel="0" collapsed="false">
      <c r="A1" s="13" t="s">
        <v>644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3" customFormat="false" ht="15" hidden="false" customHeight="true" outlineLevel="0" collapsed="false">
      <c r="A3" s="14" t="s">
        <v>540</v>
      </c>
      <c r="B3" s="14" t="s">
        <v>645</v>
      </c>
      <c r="C3" s="14" t="s">
        <v>646</v>
      </c>
      <c r="D3" s="14" t="s">
        <v>647</v>
      </c>
      <c r="E3" s="14" t="s">
        <v>648</v>
      </c>
      <c r="F3" s="14" t="s">
        <v>649</v>
      </c>
      <c r="G3" s="14" t="s">
        <v>650</v>
      </c>
      <c r="H3" s="14" t="s">
        <v>651</v>
      </c>
      <c r="I3" s="14" t="s">
        <v>652</v>
      </c>
      <c r="J3" s="14" t="s">
        <v>653</v>
      </c>
      <c r="K3" s="14" t="s">
        <v>654</v>
      </c>
      <c r="L3" s="14" t="s">
        <v>655</v>
      </c>
      <c r="M3" s="14" t="s">
        <v>656</v>
      </c>
    </row>
    <row r="4" customFormat="false" ht="15" hidden="false" customHeight="true" outlineLevel="0" collapsed="false">
      <c r="A4" s="15" t="s">
        <v>657</v>
      </c>
    </row>
    <row r="5" customFormat="false" ht="15" hidden="false" customHeight="true" outlineLevel="0" collapsed="false">
      <c r="A5" s="1" t="s">
        <v>658</v>
      </c>
      <c r="B5" s="16" t="n">
        <v>0</v>
      </c>
      <c r="C5" s="16" t="n">
        <v>2000</v>
      </c>
      <c r="D5" s="16" t="n">
        <v>4000</v>
      </c>
      <c r="E5" s="16" t="n">
        <v>5000</v>
      </c>
      <c r="F5" s="16" t="n">
        <v>6000</v>
      </c>
      <c r="G5" s="16" t="n">
        <v>7000</v>
      </c>
      <c r="H5" s="16" t="n">
        <v>8000</v>
      </c>
      <c r="I5" s="16" t="n">
        <v>9000</v>
      </c>
      <c r="J5" s="16" t="n">
        <v>10000</v>
      </c>
      <c r="K5" s="16" t="n">
        <v>11000</v>
      </c>
      <c r="L5" s="16" t="n">
        <v>12000</v>
      </c>
      <c r="M5" s="16" t="n">
        <v>13000</v>
      </c>
    </row>
    <row r="6" customFormat="false" ht="15" hidden="false" customHeight="true" outlineLevel="0" collapsed="false">
      <c r="A6" s="1" t="s">
        <v>659</v>
      </c>
      <c r="B6" s="16" t="n">
        <v>20000</v>
      </c>
      <c r="C6" s="16" t="n">
        <v>20000</v>
      </c>
      <c r="D6" s="16" t="n">
        <v>20000</v>
      </c>
      <c r="E6" s="16" t="n">
        <v>15000</v>
      </c>
      <c r="F6" s="16" t="n">
        <v>0</v>
      </c>
      <c r="G6" s="16" t="n">
        <v>25000</v>
      </c>
      <c r="H6" s="16" t="n">
        <v>0</v>
      </c>
      <c r="I6" s="16" t="n">
        <v>0</v>
      </c>
      <c r="J6" s="16" t="n">
        <v>0</v>
      </c>
      <c r="K6" s="16" t="n">
        <v>20000</v>
      </c>
      <c r="L6" s="16" t="n">
        <v>0</v>
      </c>
      <c r="M6" s="16" t="n">
        <v>0</v>
      </c>
    </row>
    <row r="7" customFormat="false" ht="15" hidden="false" customHeight="true" outlineLevel="0" collapsed="false">
      <c r="A7" s="1" t="s">
        <v>660</v>
      </c>
      <c r="B7" s="16" t="n">
        <v>0</v>
      </c>
      <c r="C7" s="16" t="n">
        <v>0</v>
      </c>
      <c r="D7" s="16" t="n">
        <v>5000</v>
      </c>
      <c r="E7" s="16" t="n">
        <v>5000</v>
      </c>
      <c r="F7" s="16" t="n">
        <v>5000</v>
      </c>
      <c r="G7" s="16" t="n">
        <v>5000</v>
      </c>
      <c r="H7" s="16" t="n">
        <v>5000</v>
      </c>
      <c r="I7" s="16" t="n">
        <v>5000</v>
      </c>
      <c r="J7" s="16" t="n">
        <v>5000</v>
      </c>
      <c r="K7" s="16" t="n">
        <v>5000</v>
      </c>
      <c r="L7" s="16" t="n">
        <v>5000</v>
      </c>
      <c r="M7" s="16" t="n">
        <v>5000</v>
      </c>
    </row>
    <row r="8" customFormat="false" ht="15" hidden="false" customHeight="true" outlineLevel="0" collapsed="false">
      <c r="A8" s="1" t="s">
        <v>661</v>
      </c>
      <c r="B8" s="16" t="n">
        <v>0</v>
      </c>
      <c r="C8" s="16" t="n">
        <v>0</v>
      </c>
      <c r="D8" s="16" t="n">
        <v>0</v>
      </c>
      <c r="E8" s="16" t="n">
        <v>30000</v>
      </c>
      <c r="F8" s="16" t="n">
        <v>30000</v>
      </c>
      <c r="G8" s="16" t="n">
        <v>30000</v>
      </c>
      <c r="H8" s="16" t="n">
        <v>30000</v>
      </c>
      <c r="I8" s="16" t="n">
        <v>30000</v>
      </c>
      <c r="J8" s="16" t="n">
        <v>30000</v>
      </c>
      <c r="K8" s="16" t="n">
        <v>30000</v>
      </c>
      <c r="L8" s="16" t="n">
        <v>30000</v>
      </c>
      <c r="M8" s="16" t="n">
        <v>30000</v>
      </c>
    </row>
    <row r="9" customFormat="false" ht="15" hidden="false" customHeight="true" outlineLevel="0" collapsed="false">
      <c r="A9" s="1" t="s">
        <v>662</v>
      </c>
      <c r="B9" s="16" t="n">
        <v>0</v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8000</v>
      </c>
      <c r="I9" s="16" t="n">
        <v>12000</v>
      </c>
      <c r="J9" s="16" t="n">
        <v>15000</v>
      </c>
      <c r="K9" s="16" t="n">
        <v>18000</v>
      </c>
      <c r="L9" s="16" t="n">
        <v>20000</v>
      </c>
      <c r="M9" s="16" t="n">
        <v>22000</v>
      </c>
    </row>
    <row r="10" customFormat="false" ht="15" hidden="false" customHeight="true" outlineLevel="0" collapsed="false">
      <c r="A10" s="1" t="s">
        <v>663</v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10000</v>
      </c>
      <c r="G10" s="16" t="n">
        <v>15000</v>
      </c>
      <c r="H10" s="16" t="n">
        <v>20000</v>
      </c>
      <c r="I10" s="16" t="n">
        <v>20000</v>
      </c>
      <c r="J10" s="16" t="n">
        <v>20000</v>
      </c>
      <c r="K10" s="16" t="n">
        <v>20000</v>
      </c>
      <c r="L10" s="16" t="n">
        <v>20000</v>
      </c>
      <c r="M10" s="16" t="n">
        <v>20000</v>
      </c>
    </row>
    <row r="11" customFormat="false" ht="15" hidden="false" customHeight="true" outlineLevel="0" collapsed="false">
      <c r="A11" s="17" t="s">
        <v>664</v>
      </c>
      <c r="B11" s="18" t="n">
        <f aca="false">SUM(B5:B10)</f>
        <v>20000</v>
      </c>
      <c r="C11" s="18" t="n">
        <f aca="false">SUM(C5:C10)</f>
        <v>22000</v>
      </c>
      <c r="D11" s="18" t="n">
        <f aca="false">SUM(D5:D10)</f>
        <v>29000</v>
      </c>
      <c r="E11" s="18" t="n">
        <f aca="false">SUM(E5:E10)</f>
        <v>55000</v>
      </c>
      <c r="F11" s="18" t="n">
        <f aca="false">SUM(F5:F10)</f>
        <v>51000</v>
      </c>
      <c r="G11" s="18" t="n">
        <f aca="false">SUM(G5:G10)</f>
        <v>82000</v>
      </c>
      <c r="H11" s="18" t="n">
        <f aca="false">SUM(H5:H10)</f>
        <v>71000</v>
      </c>
      <c r="I11" s="18" t="n">
        <f aca="false">SUM(I5:I10)</f>
        <v>76000</v>
      </c>
      <c r="J11" s="18" t="n">
        <f aca="false">SUM(J5:J10)</f>
        <v>80000</v>
      </c>
      <c r="K11" s="18" t="n">
        <f aca="false">SUM(K5:K10)</f>
        <v>104000</v>
      </c>
      <c r="L11" s="18" t="n">
        <f aca="false">SUM(L5:L10)</f>
        <v>87000</v>
      </c>
      <c r="M11" s="18" t="n">
        <f aca="false">SUM(M5:M10)</f>
        <v>90000</v>
      </c>
    </row>
    <row r="13" customFormat="false" ht="15" hidden="false" customHeight="true" outlineLevel="0" collapsed="false">
      <c r="A13" s="15" t="s">
        <v>665</v>
      </c>
      <c r="B13" s="16" t="n">
        <v>500</v>
      </c>
      <c r="C13" s="16" t="n">
        <v>500</v>
      </c>
      <c r="D13" s="16" t="n">
        <v>500</v>
      </c>
      <c r="E13" s="16" t="n">
        <v>800</v>
      </c>
      <c r="F13" s="16" t="n">
        <v>800</v>
      </c>
      <c r="G13" s="16" t="n">
        <v>800</v>
      </c>
      <c r="H13" s="16" t="n">
        <v>1200</v>
      </c>
      <c r="I13" s="16" t="n">
        <v>1200</v>
      </c>
      <c r="J13" s="16" t="n">
        <v>1200</v>
      </c>
      <c r="K13" s="16" t="n">
        <v>1500</v>
      </c>
      <c r="L13" s="16" t="n">
        <v>1500</v>
      </c>
      <c r="M13" s="16" t="n">
        <v>1500</v>
      </c>
    </row>
    <row r="14" customFormat="false" ht="15" hidden="false" customHeight="true" outlineLevel="0" collapsed="false">
      <c r="A14" s="1" t="s">
        <v>666</v>
      </c>
      <c r="B14" s="16" t="n">
        <v>200</v>
      </c>
      <c r="C14" s="16" t="n">
        <v>200</v>
      </c>
      <c r="D14" s="16" t="n">
        <v>300</v>
      </c>
      <c r="E14" s="16" t="n">
        <v>500</v>
      </c>
      <c r="F14" s="16" t="n">
        <v>500</v>
      </c>
      <c r="G14" s="16" t="n">
        <v>500</v>
      </c>
      <c r="H14" s="16" t="n">
        <v>800</v>
      </c>
      <c r="I14" s="16" t="n">
        <v>800</v>
      </c>
      <c r="J14" s="16" t="n">
        <v>800</v>
      </c>
      <c r="K14" s="16" t="n">
        <v>1000</v>
      </c>
      <c r="L14" s="16" t="n">
        <v>1000</v>
      </c>
      <c r="M14" s="16" t="n">
        <v>1000</v>
      </c>
    </row>
    <row r="15" customFormat="false" ht="15" hidden="false" customHeight="true" outlineLevel="0" collapsed="false">
      <c r="A15" s="1" t="s">
        <v>667</v>
      </c>
      <c r="B15" s="16" t="n">
        <v>500</v>
      </c>
      <c r="C15" s="16" t="n">
        <v>1000</v>
      </c>
      <c r="D15" s="16" t="n">
        <v>1000</v>
      </c>
      <c r="E15" s="16" t="n">
        <v>1500</v>
      </c>
      <c r="F15" s="16" t="n">
        <v>1500</v>
      </c>
      <c r="G15" s="16" t="n">
        <v>2000</v>
      </c>
      <c r="H15" s="16" t="n">
        <v>2000</v>
      </c>
      <c r="I15" s="16" t="n">
        <v>2000</v>
      </c>
      <c r="J15" s="16" t="n">
        <v>2000</v>
      </c>
      <c r="K15" s="16" t="n">
        <v>2000</v>
      </c>
      <c r="L15" s="16" t="n">
        <v>2000</v>
      </c>
      <c r="M15" s="16" t="n">
        <v>2000</v>
      </c>
    </row>
    <row r="16" customFormat="false" ht="15" hidden="false" customHeight="true" outlineLevel="0" collapsed="false">
      <c r="A16" s="1" t="s">
        <v>668</v>
      </c>
      <c r="B16" s="16" t="n">
        <v>0</v>
      </c>
      <c r="C16" s="16" t="n">
        <v>0</v>
      </c>
      <c r="D16" s="16" t="n">
        <v>0</v>
      </c>
      <c r="E16" s="16" t="n">
        <v>5000</v>
      </c>
      <c r="F16" s="16" t="n">
        <v>5000</v>
      </c>
      <c r="G16" s="16" t="n">
        <v>5000</v>
      </c>
      <c r="H16" s="16" t="n">
        <v>8000</v>
      </c>
      <c r="I16" s="16" t="n">
        <v>10000</v>
      </c>
      <c r="J16" s="16" t="n">
        <v>12000</v>
      </c>
      <c r="K16" s="16" t="n">
        <v>15000</v>
      </c>
      <c r="L16" s="16" t="n">
        <v>15000</v>
      </c>
      <c r="M16" s="16" t="n">
        <v>15000</v>
      </c>
    </row>
    <row r="17" customFormat="false" ht="15" hidden="false" customHeight="true" outlineLevel="0" collapsed="false">
      <c r="A17" s="1" t="s">
        <v>669</v>
      </c>
      <c r="B17" s="16" t="n">
        <v>1000</v>
      </c>
      <c r="C17" s="16" t="n">
        <v>1000</v>
      </c>
      <c r="D17" s="16" t="n">
        <v>1000</v>
      </c>
      <c r="E17" s="16" t="n">
        <v>1000</v>
      </c>
      <c r="F17" s="16" t="n">
        <v>1000</v>
      </c>
      <c r="G17" s="16" t="n">
        <v>1000</v>
      </c>
      <c r="H17" s="16" t="n">
        <v>1000</v>
      </c>
      <c r="I17" s="16" t="n">
        <v>1000</v>
      </c>
      <c r="J17" s="16" t="n">
        <v>1000</v>
      </c>
      <c r="K17" s="16" t="n">
        <v>1000</v>
      </c>
      <c r="L17" s="16" t="n">
        <v>1000</v>
      </c>
      <c r="M17" s="16" t="n">
        <v>1000</v>
      </c>
    </row>
    <row r="18" customFormat="false" ht="15" hidden="false" customHeight="true" outlineLevel="0" collapsed="false">
      <c r="A18" s="1" t="s">
        <v>670</v>
      </c>
      <c r="B18" s="16" t="n">
        <v>500</v>
      </c>
      <c r="C18" s="16" t="n">
        <v>500</v>
      </c>
      <c r="D18" s="16" t="n">
        <v>500</v>
      </c>
      <c r="E18" s="16" t="n">
        <v>800</v>
      </c>
      <c r="F18" s="16" t="n">
        <v>800</v>
      </c>
      <c r="G18" s="16" t="n">
        <v>800</v>
      </c>
      <c r="H18" s="16" t="n">
        <v>800</v>
      </c>
      <c r="I18" s="16" t="n">
        <v>800</v>
      </c>
      <c r="J18" s="16" t="n">
        <v>800</v>
      </c>
      <c r="K18" s="16" t="n">
        <v>800</v>
      </c>
      <c r="L18" s="16" t="n">
        <v>800</v>
      </c>
      <c r="M18" s="16" t="n">
        <v>800</v>
      </c>
    </row>
    <row r="19" customFormat="false" ht="15" hidden="false" customHeight="true" outlineLevel="0" collapsed="false">
      <c r="A19" s="17" t="s">
        <v>671</v>
      </c>
      <c r="B19" s="18" t="n">
        <f aca="false">SUM(B14:B18)</f>
        <v>2200</v>
      </c>
      <c r="C19" s="18" t="n">
        <f aca="false">SUM(C14:C18)</f>
        <v>2700</v>
      </c>
      <c r="D19" s="18" t="n">
        <f aca="false">SUM(D14:D18)</f>
        <v>2800</v>
      </c>
      <c r="E19" s="18" t="n">
        <f aca="false">SUM(E14:E18)</f>
        <v>8800</v>
      </c>
      <c r="F19" s="18" t="n">
        <f aca="false">SUM(F14:F18)</f>
        <v>8800</v>
      </c>
      <c r="G19" s="18" t="n">
        <f aca="false">SUM(G14:G18)</f>
        <v>9300</v>
      </c>
      <c r="H19" s="18" t="n">
        <f aca="false">SUM(H14:H18)</f>
        <v>12600</v>
      </c>
      <c r="I19" s="18" t="n">
        <f aca="false">SUM(I14:I18)</f>
        <v>14600</v>
      </c>
      <c r="J19" s="18" t="n">
        <f aca="false">SUM(J14:J18)</f>
        <v>16600</v>
      </c>
      <c r="K19" s="18" t="n">
        <f aca="false">SUM(K14:K18)</f>
        <v>19800</v>
      </c>
      <c r="L19" s="18" t="n">
        <f aca="false">SUM(L14:L18)</f>
        <v>19800</v>
      </c>
      <c r="M19" s="18" t="n">
        <f aca="false">SUM(M14:M18)</f>
        <v>19800</v>
      </c>
    </row>
    <row r="21" customFormat="false" ht="15" hidden="false" customHeight="true" outlineLevel="0" collapsed="false">
      <c r="A21" s="1" t="s">
        <v>672</v>
      </c>
      <c r="B21" s="19" t="n">
        <f aca="false">B11-B19</f>
        <v>17800</v>
      </c>
      <c r="C21" s="19" t="n">
        <f aca="false">C11-C19</f>
        <v>19300</v>
      </c>
      <c r="D21" s="19" t="n">
        <f aca="false">D11-D19</f>
        <v>26200</v>
      </c>
      <c r="E21" s="19" t="n">
        <f aca="false">E11-E19</f>
        <v>46200</v>
      </c>
      <c r="F21" s="19" t="n">
        <f aca="false">F11-F19</f>
        <v>42200</v>
      </c>
      <c r="G21" s="19" t="n">
        <f aca="false">G11-G19</f>
        <v>72700</v>
      </c>
      <c r="H21" s="19" t="n">
        <f aca="false">H11-H19</f>
        <v>58400</v>
      </c>
      <c r="I21" s="19" t="n">
        <f aca="false">I11-I19</f>
        <v>61400</v>
      </c>
      <c r="J21" s="19" t="n">
        <f aca="false">J11-J19</f>
        <v>63400</v>
      </c>
      <c r="K21" s="19" t="n">
        <f aca="false">K11-K19</f>
        <v>84200</v>
      </c>
      <c r="L21" s="19" t="n">
        <f aca="false">L11-L19</f>
        <v>67200</v>
      </c>
      <c r="M21" s="19" t="n">
        <f aca="false">M11-M19</f>
        <v>70200</v>
      </c>
    </row>
    <row r="22" customFormat="false" ht="15" hidden="false" customHeight="true" outlineLevel="0" collapsed="false">
      <c r="A22" s="1" t="s">
        <v>673</v>
      </c>
      <c r="B22" s="20" t="n">
        <f aca="false">IF(B11=0,0,B21/B11)</f>
        <v>0.89</v>
      </c>
      <c r="C22" s="20" t="n">
        <f aca="false">IF(C11=0,0,C21/C11)</f>
        <v>0.877272727272727</v>
      </c>
      <c r="D22" s="20" t="n">
        <f aca="false">IF(D11=0,0,D21/D11)</f>
        <v>0.903448275862069</v>
      </c>
      <c r="E22" s="20" t="n">
        <f aca="false">IF(E11=0,0,E21/E11)</f>
        <v>0.84</v>
      </c>
      <c r="F22" s="20" t="n">
        <f aca="false">IF(F11=0,0,F21/F11)</f>
        <v>0.827450980392157</v>
      </c>
      <c r="G22" s="20" t="n">
        <f aca="false">IF(G11=0,0,G21/G11)</f>
        <v>0.886585365853659</v>
      </c>
      <c r="H22" s="20" t="n">
        <f aca="false">IF(H11=0,0,H21/H11)</f>
        <v>0.822535211267606</v>
      </c>
      <c r="I22" s="20" t="n">
        <f aca="false">IF(I11=0,0,I21/I11)</f>
        <v>0.807894736842105</v>
      </c>
      <c r="J22" s="20" t="n">
        <f aca="false">IF(J11=0,0,J21/J11)</f>
        <v>0.7925</v>
      </c>
      <c r="K22" s="20" t="n">
        <f aca="false">IF(K11=0,0,K21/K11)</f>
        <v>0.809615384615385</v>
      </c>
      <c r="L22" s="20" t="n">
        <f aca="false">IF(L11=0,0,L21/L11)</f>
        <v>0.772413793103448</v>
      </c>
      <c r="M22" s="20" t="n">
        <f aca="false">IF(M11=0,0,M21/M11)</f>
        <v>0.78</v>
      </c>
    </row>
    <row r="24" customFormat="false" ht="15" hidden="false" customHeight="true" outlineLevel="0" collapsed="false">
      <c r="A24" s="21" t="s">
        <v>674</v>
      </c>
      <c r="B24" s="22" t="n">
        <f aca="false">B20</f>
        <v>0</v>
      </c>
      <c r="C24" s="22" t="n">
        <f aca="false">B24+C20</f>
        <v>0</v>
      </c>
      <c r="D24" s="22" t="n">
        <f aca="false">C24+D20</f>
        <v>0</v>
      </c>
      <c r="E24" s="22" t="n">
        <f aca="false">D24+E20</f>
        <v>0</v>
      </c>
      <c r="F24" s="22" t="n">
        <f aca="false">E24+F20</f>
        <v>0</v>
      </c>
      <c r="G24" s="22" t="n">
        <f aca="false">F24+G20</f>
        <v>0</v>
      </c>
      <c r="H24" s="22" t="n">
        <f aca="false">G24+H20</f>
        <v>0</v>
      </c>
      <c r="I24" s="22" t="n">
        <f aca="false">H24+I20</f>
        <v>0</v>
      </c>
      <c r="J24" s="22" t="n">
        <f aca="false">I24+J20</f>
        <v>0</v>
      </c>
      <c r="K24" s="22" t="n">
        <f aca="false">J24+K20</f>
        <v>0</v>
      </c>
      <c r="L24" s="22" t="n">
        <f aca="false">K24+L20</f>
        <v>0</v>
      </c>
      <c r="M24" s="22" t="n">
        <f aca="false">L24+M20</f>
        <v>0</v>
      </c>
    </row>
    <row r="27" customFormat="false" ht="15" hidden="false" customHeight="true" outlineLevel="0" collapsed="false">
      <c r="A27" s="15" t="s">
        <v>675</v>
      </c>
    </row>
    <row r="28" customFormat="false" ht="15" hidden="false" customHeight="true" outlineLevel="0" collapsed="false">
      <c r="A28" s="1" t="s">
        <v>676</v>
      </c>
      <c r="B28" s="23" t="n">
        <v>0.2</v>
      </c>
    </row>
    <row r="29" customFormat="false" ht="15" hidden="false" customHeight="true" outlineLevel="0" collapsed="false">
      <c r="A29" s="1" t="s">
        <v>677</v>
      </c>
      <c r="B29" s="24" t="n">
        <v>20000</v>
      </c>
    </row>
    <row r="30" customFormat="false" ht="15" hidden="false" customHeight="true" outlineLevel="0" collapsed="false">
      <c r="A30" s="1" t="s">
        <v>678</v>
      </c>
      <c r="B30" s="24" t="n">
        <v>30000</v>
      </c>
    </row>
    <row r="31" customFormat="false" ht="15" hidden="false" customHeight="true" outlineLevel="0" collapsed="false">
      <c r="A31" s="1" t="s">
        <v>679</v>
      </c>
      <c r="B31" s="24" t="n">
        <v>30</v>
      </c>
    </row>
    <row r="32" customFormat="false" ht="15" hidden="false" customHeight="true" outlineLevel="0" collapsed="false">
      <c r="A32" s="1" t="s">
        <v>680</v>
      </c>
      <c r="B32" s="24" t="n">
        <v>2000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8"/>
    <col collapsed="false" customWidth="true" hidden="false" outlineLevel="0" max="5" min="4" style="1" width="16"/>
    <col collapsed="false" customWidth="true" hidden="false" outlineLevel="0" max="6" min="6" style="1" width="14"/>
  </cols>
  <sheetData>
    <row r="1" customFormat="false" ht="30" hidden="false" customHeight="true" outlineLevel="0" collapsed="false">
      <c r="A1" s="2" t="s">
        <v>681</v>
      </c>
      <c r="B1" s="2" t="s">
        <v>682</v>
      </c>
      <c r="C1" s="2" t="s">
        <v>683</v>
      </c>
      <c r="D1" s="2" t="s">
        <v>684</v>
      </c>
      <c r="E1" s="2" t="s">
        <v>685</v>
      </c>
      <c r="F1" s="2" t="s">
        <v>264</v>
      </c>
    </row>
    <row r="2" customFormat="false" ht="15" hidden="false" customHeight="true" outlineLevel="0" collapsed="false">
      <c r="A2" s="25" t="s">
        <v>686</v>
      </c>
      <c r="B2" s="26" t="n">
        <v>10000</v>
      </c>
      <c r="C2" s="27"/>
      <c r="D2" s="25" t="n">
        <f aca="false">C2</f>
        <v>0</v>
      </c>
      <c r="E2" s="20" t="n">
        <f aca="false">IF(B2=0,0,D2/B2)</f>
        <v>0</v>
      </c>
      <c r="F2" s="25" t="str">
        <f aca="false">IF(E2&gt;=1,"GREEN",IF(E2&gt;=0.7,"YELLOW","RED"))</f>
        <v>RED</v>
      </c>
    </row>
    <row r="3" customFormat="false" ht="15" hidden="false" customHeight="true" outlineLevel="0" collapsed="false">
      <c r="A3" s="25" t="s">
        <v>687</v>
      </c>
      <c r="B3" s="28" t="n">
        <v>5</v>
      </c>
      <c r="C3" s="27"/>
      <c r="D3" s="25" t="n">
        <f aca="false">C3</f>
        <v>0</v>
      </c>
      <c r="E3" s="20" t="n">
        <f aca="false">IF(B3=0,0,D3/B3)</f>
        <v>0</v>
      </c>
      <c r="F3" s="25" t="str">
        <f aca="false">IF(E3&gt;=1,"GREEN",IF(E3&gt;=0.7,"YELLOW","RED"))</f>
        <v>RED</v>
      </c>
    </row>
    <row r="4" customFormat="false" ht="15" hidden="false" customHeight="true" outlineLevel="0" collapsed="false">
      <c r="A4" s="25" t="s">
        <v>688</v>
      </c>
      <c r="B4" s="28" t="n">
        <v>20</v>
      </c>
      <c r="C4" s="27"/>
      <c r="D4" s="25" t="n">
        <f aca="false">C4</f>
        <v>0</v>
      </c>
      <c r="E4" s="20" t="n">
        <f aca="false">IF(B4=0,0,D4/B4)</f>
        <v>0</v>
      </c>
      <c r="F4" s="25" t="str">
        <f aca="false">IF(E4&gt;=1,"GREEN",IF(E4&gt;=0.7,"YELLOW","RED"))</f>
        <v>RED</v>
      </c>
    </row>
    <row r="5" customFormat="false" ht="15" hidden="false" customHeight="true" outlineLevel="0" collapsed="false">
      <c r="A5" s="25" t="s">
        <v>689</v>
      </c>
      <c r="B5" s="28" t="n">
        <v>3</v>
      </c>
      <c r="C5" s="27"/>
      <c r="D5" s="25" t="n">
        <f aca="false">C5</f>
        <v>0</v>
      </c>
      <c r="E5" s="20" t="n">
        <f aca="false">IF(B5=0,0,D5/B5)</f>
        <v>0</v>
      </c>
      <c r="F5" s="25" t="str">
        <f aca="false">IF(E5&gt;=1,"GREEN",IF(E5&gt;=0.7,"YELLOW","RED"))</f>
        <v>RED</v>
      </c>
    </row>
    <row r="6" customFormat="false" ht="15" hidden="false" customHeight="true" outlineLevel="0" collapsed="false">
      <c r="A6" s="25" t="s">
        <v>690</v>
      </c>
      <c r="B6" s="28" t="n">
        <v>1</v>
      </c>
      <c r="C6" s="27"/>
      <c r="D6" s="25" t="n">
        <f aca="false">C6</f>
        <v>0</v>
      </c>
      <c r="E6" s="20" t="n">
        <f aca="false">IF(B6=0,0,D6/B6)</f>
        <v>0</v>
      </c>
      <c r="F6" s="25" t="str">
        <f aca="false">IF(E6&gt;=1,"GREEN",IF(E6&gt;=0.7,"YELLOW","RED"))</f>
        <v>RED</v>
      </c>
    </row>
    <row r="7" customFormat="false" ht="15" hidden="false" customHeight="true" outlineLevel="0" collapsed="false">
      <c r="A7" s="25" t="s">
        <v>691</v>
      </c>
      <c r="B7" s="28" t="n">
        <v>10</v>
      </c>
      <c r="C7" s="27"/>
      <c r="D7" s="25" t="n">
        <f aca="false">C7</f>
        <v>0</v>
      </c>
      <c r="E7" s="20" t="n">
        <f aca="false">IF(B7=0,0,D7/B7)</f>
        <v>0</v>
      </c>
      <c r="F7" s="25" t="str">
        <f aca="false">IF(E7&gt;=1,"GREEN",IF(E7&gt;=0.7,"YELLOW","RED"))</f>
        <v>RED</v>
      </c>
    </row>
    <row r="8" customFormat="false" ht="15" hidden="false" customHeight="true" outlineLevel="0" collapsed="false">
      <c r="A8" s="25" t="s">
        <v>692</v>
      </c>
      <c r="B8" s="28" t="n">
        <v>10</v>
      </c>
      <c r="C8" s="27"/>
      <c r="D8" s="25" t="n">
        <f aca="false">C8</f>
        <v>0</v>
      </c>
      <c r="E8" s="20" t="n">
        <f aca="false">IF(B8=0,0,D8/B8)</f>
        <v>0</v>
      </c>
      <c r="F8" s="25" t="str">
        <f aca="false">IF(E8&gt;=1,"GREEN",IF(E8&gt;=0.7,"YELLOW","RED"))</f>
        <v>RED</v>
      </c>
    </row>
    <row r="9" customFormat="false" ht="15" hidden="false" customHeight="true" outlineLevel="0" collapsed="false">
      <c r="A9" s="25" t="s">
        <v>693</v>
      </c>
      <c r="B9" s="28" t="n">
        <v>100</v>
      </c>
      <c r="C9" s="27"/>
      <c r="D9" s="25" t="n">
        <f aca="false">C9</f>
        <v>0</v>
      </c>
      <c r="E9" s="20" t="n">
        <f aca="false">IF(B9=0,0,D9/B9)</f>
        <v>0</v>
      </c>
      <c r="F9" s="25" t="str">
        <f aca="false">IF(E9&gt;=1,"GREEN",IF(E9&gt;=0.7,"YELLOW","RED"))</f>
        <v>RED</v>
      </c>
    </row>
    <row r="10" customFormat="false" ht="15" hidden="false" customHeight="true" outlineLevel="0" collapsed="false">
      <c r="A10" s="25" t="s">
        <v>694</v>
      </c>
      <c r="B10" s="29" t="n">
        <v>0.95</v>
      </c>
      <c r="C10" s="27"/>
      <c r="D10" s="25" t="n">
        <f aca="false">C10</f>
        <v>0</v>
      </c>
      <c r="E10" s="20" t="n">
        <f aca="false">IF(B10=0,0,D10/B10)</f>
        <v>0</v>
      </c>
      <c r="F10" s="25" t="str">
        <f aca="false">IF(E10&gt;=1,"GREEN",IF(E10&gt;=0.7,"YELLOW","RED"))</f>
        <v>RED</v>
      </c>
    </row>
    <row r="11" customFormat="false" ht="15" hidden="false" customHeight="true" outlineLevel="0" collapsed="false">
      <c r="A11" s="25" t="s">
        <v>673</v>
      </c>
      <c r="B11" s="29" t="n">
        <v>0.7</v>
      </c>
      <c r="C11" s="27"/>
      <c r="D11" s="25" t="n">
        <f aca="false">C11</f>
        <v>0</v>
      </c>
      <c r="E11" s="20" t="n">
        <f aca="false">IF(B11=0,0,D11/B11)</f>
        <v>0</v>
      </c>
      <c r="F11" s="25" t="str">
        <f aca="false">IF(E11&gt;=1,"GREEN",IF(E11&gt;=0.7,"YELLOW","RED"))</f>
        <v>RED</v>
      </c>
    </row>
    <row r="12" customFormat="false" ht="15" hidden="false" customHeight="true" outlineLevel="0" collapsed="false">
      <c r="A12" s="25" t="s">
        <v>695</v>
      </c>
      <c r="B12" s="26" t="n">
        <v>50000</v>
      </c>
      <c r="C12" s="27"/>
      <c r="D12" s="25" t="n">
        <f aca="false">C12</f>
        <v>0</v>
      </c>
      <c r="E12" s="20" t="n">
        <f aca="false">IF(B12=0,0,D12/B12)</f>
        <v>0</v>
      </c>
      <c r="F12" s="25" t="str">
        <f aca="false">IF(E12&gt;=1,"GREEN",IF(E12&gt;=0.7,"YELLOW","RED"))</f>
        <v>RED</v>
      </c>
    </row>
    <row r="13" customFormat="false" ht="15" hidden="false" customHeight="true" outlineLevel="0" collapsed="false">
      <c r="A13" s="25" t="s">
        <v>696</v>
      </c>
      <c r="B13" s="26" t="n">
        <v>5000</v>
      </c>
      <c r="C13" s="27"/>
      <c r="D13" s="25" t="n">
        <f aca="false">C13</f>
        <v>0</v>
      </c>
      <c r="E13" s="20" t="n">
        <f aca="false">IF(B13=0,0,D13/B13)</f>
        <v>0</v>
      </c>
      <c r="F13" s="25" t="str">
        <f aca="false">IF(E13&gt;=1,"GREEN",IF(E13&gt;=0.7,"YELLOW","RED"))</f>
        <v>RED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2026-02-27T15:50:33Z</dcterms:created>
  <dc:creator>openpyxl</dc:creator>
  <dc:description/>
  <dc:language>en-US</dc:language>
  <cp:lastModifiedBy/>
  <dcterms:modified xsi:type="dcterms:W3CDTF">2026-02-27T15:51:00Z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