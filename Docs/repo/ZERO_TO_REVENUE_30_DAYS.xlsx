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y-by-Day 30 Days" sheetId="1" state="visible" r:id="rId3"/>
    <sheet name="Zero-Capital Tools" sheetId="2" state="visible" r:id="rId4"/>
    <sheet name="Revenue Scenarios" sheetId="3" state="visible" r:id="rId5"/>
    <sheet name="Service Packaging" sheetId="4" state="visible" r:id="rId6"/>
    <sheet name="Conversation Scrip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<sst xmlns="http://schemas.openxmlformats.org/spreadsheetml/2006/main" count="255" uniqueCount="203">
  <si>
    <t xml:space="preserve">Day</t>
  </si>
  <si>
    <t xml:space="preserve">Primary Action</t>
  </si>
  <si>
    <t xml:space="preserve">Deliverable</t>
  </si>
  <si>
    <t xml:space="preserve">Cost ($)</t>
  </si>
  <si>
    <t xml:space="preserve">Cumulative Cost ($)</t>
  </si>
  <si>
    <t xml:space="preserve">Revenue Target ($)</t>
  </si>
  <si>
    <t xml:space="preserve">Cumulative Revenue ($)</t>
  </si>
  <si>
    <t xml:space="preserve">Conversations Target</t>
  </si>
  <si>
    <t xml:space="preserve">Cumulative Conversations</t>
  </si>
  <si>
    <t xml:space="preserve">Status</t>
  </si>
  <si>
    <t xml:space="preserve">Notes</t>
  </si>
  <si>
    <t xml:space="preserve">Register domain (frankmax.digital)</t>
  </si>
  <si>
    <t xml:space="preserve">Domain registered</t>
  </si>
  <si>
    <t xml:space="preserve">Pending</t>
  </si>
  <si>
    <t xml:space="preserve">Set up free Carrd.co single-page site</t>
  </si>
  <si>
    <t xml:space="preserve">Landing page live</t>
  </si>
  <si>
    <t xml:space="preserve">Describe Chokepoint Intelligence</t>
  </si>
  <si>
    <t xml:space="preserve">Write LinkedIn post #1</t>
  </si>
  <si>
    <t xml:space="preserve">Post published</t>
  </si>
  <si>
    <t xml:space="preserve">"Help mid-market find #1 revenue chokepoint"</t>
  </si>
  <si>
    <t xml:space="preserve">Identify 50 mid-market companies on LinkedIn</t>
  </si>
  <si>
    <t xml:space="preserve">List compiled in Notion</t>
  </si>
  <si>
    <t xml:space="preserve">$5M-$100M revenue targets</t>
  </si>
  <si>
    <t xml:space="preserve">Send 20 personalized connection requests</t>
  </si>
  <si>
    <t xml:space="preserve">Requests sent to COOs/founders</t>
  </si>
  <si>
    <t xml:space="preserve">Send 20 more connection requests</t>
  </si>
  <si>
    <t xml:space="preserve">Second wave sent</t>
  </si>
  <si>
    <t xml:space="preserve">Follow up on pending connections, engage posts</t>
  </si>
  <si>
    <t xml:space="preserve">Engagement documented</t>
  </si>
  <si>
    <t xml:space="preserve">Comment on their content</t>
  </si>
  <si>
    <t xml:space="preserve">LinkedIn post #2 with chokepoint example</t>
  </si>
  <si>
    <t xml:space="preserve">Post published (billing leakage)</t>
  </si>
  <si>
    <t xml:space="preserve">Specific case study</t>
  </si>
  <si>
    <t xml:space="preserve">Book first 3 discovery calls from connections</t>
  </si>
  <si>
    <t xml:space="preserve">3 calls scheduled</t>
  </si>
  <si>
    <t xml:space="preserve">Conduct discovery call #1</t>
  </si>
  <si>
    <t xml:space="preserve">Pain points documented</t>
  </si>
  <si>
    <t xml:space="preserve">Conduct discovery calls #2-3</t>
  </si>
  <si>
    <t xml:space="preserve">Write 1-page diagnostic proposal</t>
  </si>
  <si>
    <t xml:space="preserve">Proposal draft completed</t>
  </si>
  <si>
    <t xml:space="preserve">Based on real pain heard</t>
  </si>
  <si>
    <t xml:space="preserve">Send proposals to 3 discovery call companies</t>
  </si>
  <si>
    <t xml:space="preserve">3 proposals sent</t>
  </si>
  <si>
    <t xml:space="preserve">Follow up on proposals, book 3 more calls</t>
  </si>
  <si>
    <t xml:space="preserve">Follow-ups sent, 3 calls scheduled</t>
  </si>
  <si>
    <t xml:space="preserve">Conduct discovery calls #4-6</t>
  </si>
  <si>
    <t xml:space="preserve">LinkedIn post #3 (insight from calls, anonymized)</t>
  </si>
  <si>
    <t xml:space="preserve">Thought leadership</t>
  </si>
  <si>
    <t xml:space="preserve">Send 3 more proposals</t>
  </si>
  <si>
    <t xml:space="preserve">Follow up aggressively on all 6 proposals</t>
  </si>
  <si>
    <t xml:space="preserve">Aggressive follow-ups</t>
  </si>
  <si>
    <t xml:space="preserve">Close first deal - Chokepoint diagnostic sprint</t>
  </si>
  <si>
    <t xml:space="preserve">Contract signed</t>
  </si>
  <si>
    <t xml:space="preserve">Revenue: $5K-$15K</t>
  </si>
  <si>
    <t xml:space="preserve">Begin delivery on first client</t>
  </si>
  <si>
    <t xml:space="preserve">Discovery completed</t>
  </si>
  <si>
    <t xml:space="preserve">Document everything</t>
  </si>
  <si>
    <t xml:space="preserve">Continue delivery - identify 3 chokepoints</t>
  </si>
  <si>
    <t xml:space="preserve">3 chokepoints with $ impact</t>
  </si>
  <si>
    <t xml:space="preserve">Ranked by revenue impact</t>
  </si>
  <si>
    <t xml:space="preserve">Present findings to client</t>
  </si>
  <si>
    <t xml:space="preserve">Presentation delivered</t>
  </si>
  <si>
    <t xml:space="preserve">Propose fix implementation</t>
  </si>
  <si>
    <t xml:space="preserve">Close second deal from pipeline</t>
  </si>
  <si>
    <t xml:space="preserve">Additional $5K-$15K</t>
  </si>
  <si>
    <t xml:space="preserve">Begin delivery on second client</t>
  </si>
  <si>
    <t xml:space="preserve">LinkedIn post #4 (case study, anonymized)</t>
  </si>
  <si>
    <t xml:space="preserve">Case study from Client #1</t>
  </si>
  <si>
    <t xml:space="preserve">10 new connection requests based on credibility</t>
  </si>
  <si>
    <t xml:space="preserve">Requests sent</t>
  </si>
  <si>
    <t xml:space="preserve">Leverage case study</t>
  </si>
  <si>
    <t xml:space="preserve">Follow up on all pipeline, book 5 more calls</t>
  </si>
  <si>
    <t xml:space="preserve">Pipeline refresh &amp; calls</t>
  </si>
  <si>
    <t xml:space="preserve">Propose retainer to first client</t>
  </si>
  <si>
    <t xml:space="preserve">Retainer proposal sent</t>
  </si>
  <si>
    <t xml:space="preserve">$2K-$5K/month</t>
  </si>
  <si>
    <t xml:space="preserve">Conduct calls, send proposals</t>
  </si>
  <si>
    <t xml:space="preserve">All proposals in pipeline</t>
  </si>
  <si>
    <t xml:space="preserve">Revenue review and planning</t>
  </si>
  <si>
    <t xml:space="preserve">Month summary completed</t>
  </si>
  <si>
    <t xml:space="preserve">Target: $10K-$30K closed, $5K-$15K collected</t>
  </si>
  <si>
    <t xml:space="preserve">Tool</t>
  </si>
  <si>
    <t xml:space="preserve">Purpose</t>
  </si>
  <si>
    <t xml:space="preserve">Cost</t>
  </si>
  <si>
    <t xml:space="preserve">Alternative</t>
  </si>
  <si>
    <t xml:space="preserve">Priority</t>
  </si>
  <si>
    <t xml:space="preserve">LinkedIn (free tier)</t>
  </si>
  <si>
    <t xml:space="preserve">Prospecting and lead generation</t>
  </si>
  <si>
    <t xml:space="preserve">$0</t>
  </si>
  <si>
    <t xml:space="preserve">Twitter, Bluesky, industry forums</t>
  </si>
  <si>
    <t xml:space="preserve">Must Have</t>
  </si>
  <si>
    <t xml:space="preserve">Carrd.co</t>
  </si>
  <si>
    <t xml:space="preserve">Landing page for service description</t>
  </si>
  <si>
    <t xml:space="preserve">$0/yr (or $19/yr pro)</t>
  </si>
  <si>
    <t xml:space="preserve">Google Sites, Wix free</t>
  </si>
  <si>
    <t xml:space="preserve">Gmail/Google Workspace</t>
  </si>
  <si>
    <t xml:space="preserve">Professional email</t>
  </si>
  <si>
    <t xml:space="preserve">$0 (or $6/mo business)</t>
  </si>
  <si>
    <t xml:space="preserve">Outlook, custom domain via Cloudflare</t>
  </si>
  <si>
    <t xml:space="preserve">Claude.ai</t>
  </si>
  <si>
    <t xml:space="preserve">AI assistant for writing, analysis, proposals</t>
  </si>
  <si>
    <t xml:space="preserve">$20/mo (or free tier)</t>
  </si>
  <si>
    <t xml:space="preserve">ChatGPT free, Llama, Mistral</t>
  </si>
  <si>
    <t xml:space="preserve">Notion</t>
  </si>
  <si>
    <t xml:space="preserve">CRM, project management, client database</t>
  </si>
  <si>
    <t xml:space="preserve">Airtable free, Google Sheets</t>
  </si>
  <si>
    <t xml:space="preserve">Calendly</t>
  </si>
  <si>
    <t xml:space="preserve">Meeting scheduling and automation</t>
  </si>
  <si>
    <t xml:space="preserve">Cal.com, Google Calendar, Acuity free</t>
  </si>
  <si>
    <t xml:space="preserve">Nice to Have</t>
  </si>
  <si>
    <t xml:space="preserve">Loom</t>
  </si>
  <si>
    <t xml:space="preserve">Video recording for proposals and demos</t>
  </si>
  <si>
    <t xml:space="preserve">OBS Studio, Descript free</t>
  </si>
  <si>
    <t xml:space="preserve">Canva</t>
  </si>
  <si>
    <t xml:space="preserve">Visual assets and presentation decks</t>
  </si>
  <si>
    <t xml:space="preserve">$0 (or $13/mo pro)</t>
  </si>
  <si>
    <t xml:space="preserve">Figma free, GIMP, Photopea</t>
  </si>
  <si>
    <t xml:space="preserve">Stripe</t>
  </si>
  <si>
    <t xml:space="preserve">Payment processing for invoices</t>
  </si>
  <si>
    <t xml:space="preserve">$0 setup (2.9% + 30¢ per txn)</t>
  </si>
  <si>
    <t xml:space="preserve">Square, PayPal, Wise</t>
  </si>
  <si>
    <t xml:space="preserve">Google Docs</t>
  </si>
  <si>
    <t xml:space="preserve">Collaborative document creation</t>
  </si>
  <si>
    <t xml:space="preserve">Microsoft Word, Notion, Markdown</t>
  </si>
  <si>
    <t xml:space="preserve">Zoom</t>
  </si>
  <si>
    <t xml:space="preserve">Video calls and recording</t>
  </si>
  <si>
    <t xml:space="preserve">$0 (40 min limit)</t>
  </si>
  <si>
    <t xml:space="preserve">Google Meet, Riverside.fm</t>
  </si>
  <si>
    <t xml:space="preserve">Zapier/Make.com</t>
  </si>
  <si>
    <t xml:space="preserve">Automation and integrations</t>
  </si>
  <si>
    <t xml:space="preserve">$0 (basic tier)</t>
  </si>
  <si>
    <t xml:space="preserve">Custom Python scripts, n8n</t>
  </si>
  <si>
    <t xml:space="preserve">12-MONTH REVENUE PROJECTIONS</t>
  </si>
  <si>
    <t xml:space="preserve">Month</t>
  </si>
  <si>
    <t xml:space="preserve">Conservative ($)</t>
  </si>
  <si>
    <t xml:space="preserve">Base Case ($)</t>
  </si>
  <si>
    <t xml:space="preserve">Aggressive ($)</t>
  </si>
  <si>
    <t xml:space="preserve">Cumulative Conservative ($)</t>
  </si>
  <si>
    <t xml:space="preserve">Cumulative Base ($)</t>
  </si>
  <si>
    <t xml:space="preserve">Cumulative Aggressive ($)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</si>
  <si>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</si>
  <si>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</si>
  <si>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</si>
  <si>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</si>
  <si>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</si>
  <si>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</si>
  <si>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Month 7</t>
  </si>
  <si>
    <t xml:space="preserve">Month 8</t>
  </si>
  <si>
    <t xml:space="preserve">Month 9</t>
  </si>
  <si>
    <t xml:space="preserve">Month 10</t>
  </si>
  <si>
    <t xml:space="preserve">Month 11</t>
  </si>
  <si>
    <t xml:space="preserve">Month 12</t>
  </si>
  <si>
    <t xml:space="preserve">YEAR TOTAL</t>
  </si>
  <si>
    <t xml:space="preserve">Service Name</t>
  </si>
  <si>
    <t xml:space="preserve">Description</t>
  </si>
  <si>
    <t xml:space="preserve">Price ($)</t>
  </si>
  <si>
    <t xml:space="preserve">Delivery Time</t>
  </si>
  <si>
    <t xml:space="preserve">Cost to Deliver ($)</t>
  </si>
  <si>
    <t xml:space="preserve">Margin (%)</t>
  </si>
  <si>
    <t xml:space="preserve">Buyer Profile</t>
  </si>
  <si>
    <t xml:space="preserve">Sales Cycle (days)</t>
  </si>
  <si>
    <t xml:space="preserve">Upsell Path</t>
  </si>
  <si>
    <t xml:space="preserve">Revenue Chokepoint Diagnostic</t>
  </si>
  <si>
    <t xml:space="preserve">Identify top 3 operational bottlenecks costing revenue, ranked by $ impact</t>
  </si>
  <si>
    <t xml:space="preserve">5-10 business days</t>
  </si>
  <si>
    <t xml:space="preserve">COO/Founder at $5M-$100M company</t>
  </si>
  <si>
    <t xml:space="preserve">Fix implementation retainer</t>
  </si>
  <si>
    <t xml:space="preserve">Billing Leakage Audit</t>
  </si>
  <si>
    <t xml:space="preserve">Reconcile contracts vs invoices, identify 2-6% revenue leakage</t>
  </si>
  <si>
    <t xml:space="preserve">10-15 business days</t>
  </si>
  <si>
    <t xml:space="preserve">CFO/VP Finance at $10M+ company</t>
  </si>
  <si>
    <t xml:space="preserve">Recovery % share + monthly monitoring</t>
  </si>
  <si>
    <t xml:space="preserve">AI Governance Readiness Assessment</t>
  </si>
  <si>
    <t xml:space="preserve">Map AI usage, identify liability gaps, produce defensibility report</t>
  </si>
  <si>
    <t xml:space="preserve">CTO/CISO/General Counsel</t>
  </si>
  <si>
    <t xml:space="preserve">Frankmax PIAR implementation retainer</t>
  </si>
  <si>
    <t xml:space="preserve">Stage</t>
  </si>
  <si>
    <t xml:space="preserve">Script/Framework</t>
  </si>
  <si>
    <t xml:space="preserve">Expected Outcome</t>
  </si>
  <si>
    <t xml:space="preserve">LinkedIn Connection Request</t>
  </si>
  <si>
    <t xml:space="preserve">Hi [Name], I help [industry] companies find their biggest revenue bottleneck. Noticed you [specific observation about their company]. Would love to connect.</t>
  </si>
  <si>
    <t xml:space="preserve">Break through noise, establish relevance</t>
  </si>
  <si>
    <t xml:space="preserve">Accept connection and open to dialogue</t>
  </si>
  <si>
    <t xml:space="preserve">First Message After Connect</t>
  </si>
  <si>
    <t xml:space="preserve">Thanks for connecting. Quick question — what's the single biggest operational bottleneck costing your company revenue right now? I've been mapping these across [industry] and the patterns are fascinating.</t>
  </si>
  <si>
    <t xml:space="preserve">Qualify interest and surface pain</t>
  </si>
  <si>
    <t xml:space="preserve">Agree to discovery call or continued conversation</t>
  </si>
  <si>
    <t xml:space="preserve">Discovery Call Opening</t>
  </si>
  <si>
    <t xml:space="preserve">I have one goal for this call: understand your top 3 operational pain points and whether I can help solve the one that's costing you the most money. If I can't help, I'll tell you in the first 10 minutes.</t>
  </si>
  <si>
    <t xml:space="preserve">Set expectations, build trust, focus conversation</t>
  </si>
  <si>
    <t xml:space="preserve">Engaged participant sharing real problems</t>
  </si>
  <si>
    <t xml:space="preserve">Pain Quantification</t>
  </si>
  <si>
    <t xml:space="preserve">If we could fix [bottleneck], what would that be worth in monthly revenue? And what's it costing you right now in lost deals, delayed projects, or wasted labor?</t>
  </si>
  <si>
    <t xml:space="preserve">Make pain tangible and monetary</t>
  </si>
  <si>
    <t xml:space="preserve">$X amount quantified, client sees problem clearly</t>
  </si>
  <si>
    <t xml:space="preserve">Proposal Close</t>
  </si>
  <si>
    <t xml:space="preserve">Based on what you told me, I can identify your top 3 revenue chokepoints with dollar values in 5-10 business days. The diagnostic is $[X]. If I don't find at least 3x that amount in recoverable revenue, I'll refund you.</t>
  </si>
  <si>
    <t xml:space="preserve">Eliminate risk, create urgency, clarify ROI</t>
  </si>
  <si>
    <t xml:space="preserve">Signed contract or committed timeline</t>
  </si>
  <si>
    <t xml:space="preserve">Retainer Pitch</t>
  </si>
  <si>
    <t xml:space="preserve">Now that we've identified $[X] in recoverable revenue, I can implement the fixes and monitor ongoing. That's $[Y]/month. The diagnostic found [Z]x the cost in the first week alone.</t>
  </si>
  <si>
    <t xml:space="preserve">Move from project to recurring revenue</t>
  </si>
  <si>
    <t xml:space="preserve">Monthly retainer agreement signed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</si>
</sst>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6EFCE"/>
      </patternFill>
    </fill>
    <fill>
      <patternFill patternType="solid">
        <fgColor rgb="FF404040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35"/>
    <col collapsed="false" customWidth="true" hidden="false" outlineLevel="0" max="4" min="4" style="0" width="12"/>
    <col collapsed="false" customWidth="true" hidden="false" outlineLevel="0" max="8" min="5" style="0" width="18"/>
    <col collapsed="false" customWidth="true" hidden="false" outlineLevel="0" max="9" min="9" style="0" width="22"/>
    <col collapsed="false" customWidth="true" hidden="false" outlineLevel="0" max="10" min="10" style="0" width="14"/>
    <col collapsed="false" customWidth="true" hidden="false" outlineLevel="0" max="11" min="11" style="0" width="35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</v>
      </c>
      <c r="B2" s="3" t="s">
        <v>11</v>
      </c>
      <c r="C2" s="3" t="s">
        <v>12</v>
      </c>
      <c r="D2" s="4" t="n">
        <v>12</v>
      </c>
      <c r="E2" s="4" t="n">
        <f aca="false">SUM($D$2:D2)</f>
        <v>12</v>
      </c>
      <c r="F2" s="4" t="n">
        <v>0</v>
      </c>
      <c r="G2" s="4" t="n">
        <v>0</v>
      </c>
      <c r="H2" s="2" t="n">
        <v>0</v>
      </c>
      <c r="I2" s="2" t="n">
        <v>0</v>
      </c>
      <c r="J2" s="3" t="s">
        <v>13</v>
      </c>
      <c r="K2" s="3"/>
    </row>
    <row r="3" customFormat="false" ht="15" hidden="false" customHeight="false" outlineLevel="0" collapsed="false">
      <c r="A3" s="5" t="n">
        <v>2</v>
      </c>
      <c r="B3" s="6" t="s">
        <v>14</v>
      </c>
      <c r="C3" s="6" t="s">
        <v>15</v>
      </c>
      <c r="D3" s="7" t="n">
        <v>0</v>
      </c>
      <c r="E3" s="7" t="n">
        <f aca="false">SUM($D$2:D3)</f>
        <v>12</v>
      </c>
      <c r="F3" s="7" t="n">
        <v>0</v>
      </c>
      <c r="G3" s="7" t="n">
        <v>0</v>
      </c>
      <c r="H3" s="5" t="n">
        <v>0</v>
      </c>
      <c r="I3" s="5" t="n">
        <v>0</v>
      </c>
      <c r="J3" s="6" t="s">
        <v>13</v>
      </c>
      <c r="K3" s="6" t="s">
        <v>16</v>
      </c>
    </row>
    <row r="4" customFormat="false" ht="15" hidden="false" customHeight="false" outlineLevel="0" collapsed="false">
      <c r="A4" s="2" t="n">
        <v>3</v>
      </c>
      <c r="B4" s="3" t="s">
        <v>17</v>
      </c>
      <c r="C4" s="3" t="s">
        <v>18</v>
      </c>
      <c r="D4" s="4" t="n">
        <v>0</v>
      </c>
      <c r="E4" s="4" t="n">
        <f aca="false">SUM($D$2:D4)</f>
        <v>12</v>
      </c>
      <c r="F4" s="4" t="n">
        <v>0</v>
      </c>
      <c r="G4" s="4" t="n">
        <v>0</v>
      </c>
      <c r="H4" s="2" t="n">
        <v>1</v>
      </c>
      <c r="I4" s="2" t="n">
        <v>1</v>
      </c>
      <c r="J4" s="3" t="s">
        <v>13</v>
      </c>
      <c r="K4" s="3" t="s">
        <v>19</v>
      </c>
    </row>
    <row r="5" customFormat="false" ht="15" hidden="false" customHeight="false" outlineLevel="0" collapsed="false">
      <c r="A5" s="5" t="n">
        <v>4</v>
      </c>
      <c r="B5" s="6" t="s">
        <v>20</v>
      </c>
      <c r="C5" s="6" t="s">
        <v>21</v>
      </c>
      <c r="D5" s="7" t="n">
        <v>0</v>
      </c>
      <c r="E5" s="7" t="n">
        <f aca="false">SUM($D$2:D5)</f>
        <v>12</v>
      </c>
      <c r="F5" s="7" t="n">
        <v>0</v>
      </c>
      <c r="G5" s="7" t="n">
        <v>0</v>
      </c>
      <c r="H5" s="5" t="n">
        <v>0</v>
      </c>
      <c r="I5" s="5" t="n">
        <v>0</v>
      </c>
      <c r="J5" s="6" t="s">
        <v>13</v>
      </c>
      <c r="K5" s="6" t="s">
        <v>22</v>
      </c>
    </row>
    <row r="6" customFormat="false" ht="15" hidden="false" customHeight="false" outlineLevel="0" collapsed="false">
      <c r="A6" s="2" t="n">
        <v>5</v>
      </c>
      <c r="B6" s="3" t="s">
        <v>23</v>
      </c>
      <c r="C6" s="3" t="s">
        <v>24</v>
      </c>
      <c r="D6" s="4" t="n">
        <v>0</v>
      </c>
      <c r="E6" s="4" t="n">
        <f aca="false">SUM($D$2:D6)</f>
        <v>12</v>
      </c>
      <c r="F6" s="4" t="n">
        <v>0</v>
      </c>
      <c r="G6" s="4" t="n">
        <v>0</v>
      </c>
      <c r="H6" s="2" t="n">
        <v>20</v>
      </c>
      <c r="I6" s="2" t="n">
        <v>20</v>
      </c>
      <c r="J6" s="3" t="s">
        <v>13</v>
      </c>
      <c r="K6" s="3"/>
    </row>
    <row r="7" customFormat="false" ht="15" hidden="false" customHeight="false" outlineLevel="0" collapsed="false">
      <c r="A7" s="5" t="n">
        <v>6</v>
      </c>
      <c r="B7" s="6" t="s">
        <v>25</v>
      </c>
      <c r="C7" s="6" t="s">
        <v>26</v>
      </c>
      <c r="D7" s="7" t="n">
        <v>0</v>
      </c>
      <c r="E7" s="7" t="n">
        <f aca="false">SUM($D$2:D7)</f>
        <v>12</v>
      </c>
      <c r="F7" s="7" t="n">
        <v>0</v>
      </c>
      <c r="G7" s="7" t="n">
        <v>0</v>
      </c>
      <c r="H7" s="5" t="n">
        <v>20</v>
      </c>
      <c r="I7" s="5" t="n">
        <v>40</v>
      </c>
      <c r="J7" s="6" t="s">
        <v>13</v>
      </c>
      <c r="K7" s="6"/>
    </row>
    <row r="8" customFormat="false" ht="15" hidden="false" customHeight="false" outlineLevel="0" collapsed="false">
      <c r="A8" s="2" t="n">
        <v>7</v>
      </c>
      <c r="B8" s="3" t="s">
        <v>27</v>
      </c>
      <c r="C8" s="3" t="s">
        <v>28</v>
      </c>
      <c r="D8" s="4" t="n">
        <v>0</v>
      </c>
      <c r="E8" s="4" t="n">
        <f aca="false">SUM($D$2:D8)</f>
        <v>12</v>
      </c>
      <c r="F8" s="4" t="n">
        <v>0</v>
      </c>
      <c r="G8" s="4" t="n">
        <v>0</v>
      </c>
      <c r="H8" s="2" t="n">
        <v>5</v>
      </c>
      <c r="I8" s="2" t="n">
        <v>45</v>
      </c>
      <c r="J8" s="3" t="s">
        <v>13</v>
      </c>
      <c r="K8" s="3" t="s">
        <v>29</v>
      </c>
    </row>
    <row r="9" customFormat="false" ht="15" hidden="false" customHeight="false" outlineLevel="0" collapsed="false">
      <c r="A9" s="5" t="n">
        <v>8</v>
      </c>
      <c r="B9" s="6" t="s">
        <v>30</v>
      </c>
      <c r="C9" s="6" t="s">
        <v>31</v>
      </c>
      <c r="D9" s="7" t="n">
        <v>0</v>
      </c>
      <c r="E9" s="7" t="n">
        <f aca="false">SUM($D$2:D9)</f>
        <v>12</v>
      </c>
      <c r="F9" s="7" t="n">
        <v>0</v>
      </c>
      <c r="G9" s="7" t="n">
        <v>0</v>
      </c>
      <c r="H9" s="5" t="n">
        <v>1</v>
      </c>
      <c r="I9" s="5" t="n">
        <v>46</v>
      </c>
      <c r="J9" s="6" t="s">
        <v>13</v>
      </c>
      <c r="K9" s="6" t="s">
        <v>32</v>
      </c>
    </row>
    <row r="10" customFormat="false" ht="15" hidden="false" customHeight="false" outlineLevel="0" collapsed="false">
      <c r="A10" s="2" t="n">
        <v>9</v>
      </c>
      <c r="B10" s="3" t="s">
        <v>33</v>
      </c>
      <c r="C10" s="3" t="s">
        <v>34</v>
      </c>
      <c r="D10" s="4" t="n">
        <v>0</v>
      </c>
      <c r="E10" s="4" t="n">
        <f aca="false">SUM($D$2:D10)</f>
        <v>12</v>
      </c>
      <c r="F10" s="4" t="n">
        <v>0</v>
      </c>
      <c r="G10" s="4" t="n">
        <v>0</v>
      </c>
      <c r="H10" s="2" t="n">
        <v>3</v>
      </c>
      <c r="I10" s="2" t="n">
        <v>49</v>
      </c>
      <c r="J10" s="3" t="s">
        <v>13</v>
      </c>
      <c r="K10" s="3"/>
    </row>
    <row r="11" customFormat="false" ht="15" hidden="false" customHeight="false" outlineLevel="0" collapsed="false">
      <c r="A11" s="5" t="n">
        <v>10</v>
      </c>
      <c r="B11" s="6" t="s">
        <v>35</v>
      </c>
      <c r="C11" s="6" t="s">
        <v>36</v>
      </c>
      <c r="D11" s="7" t="n">
        <v>0</v>
      </c>
      <c r="E11" s="7" t="n">
        <f aca="false">SUM($D$2:D11)</f>
        <v>12</v>
      </c>
      <c r="F11" s="7" t="n">
        <v>0</v>
      </c>
      <c r="G11" s="7" t="n">
        <v>0</v>
      </c>
      <c r="H11" s="5" t="n">
        <v>1</v>
      </c>
      <c r="I11" s="5" t="n">
        <v>50</v>
      </c>
      <c r="J11" s="6" t="s">
        <v>13</v>
      </c>
      <c r="K11" s="6"/>
    </row>
    <row r="12" customFormat="false" ht="15" hidden="false" customHeight="false" outlineLevel="0" collapsed="false">
      <c r="A12" s="2" t="n">
        <v>11</v>
      </c>
      <c r="B12" s="3" t="s">
        <v>37</v>
      </c>
      <c r="C12" s="3" t="s">
        <v>36</v>
      </c>
      <c r="D12" s="4" t="n">
        <v>0</v>
      </c>
      <c r="E12" s="4" t="n">
        <f aca="false">SUM($D$2:D12)</f>
        <v>12</v>
      </c>
      <c r="F12" s="4" t="n">
        <v>0</v>
      </c>
      <c r="G12" s="4" t="n">
        <v>0</v>
      </c>
      <c r="H12" s="2" t="n">
        <v>2</v>
      </c>
      <c r="I12" s="2" t="n">
        <v>52</v>
      </c>
      <c r="J12" s="3" t="s">
        <v>13</v>
      </c>
      <c r="K12" s="3"/>
    </row>
    <row r="13" customFormat="false" ht="15" hidden="false" customHeight="false" outlineLevel="0" collapsed="false">
      <c r="A13" s="5" t="n">
        <v>12</v>
      </c>
      <c r="B13" s="6" t="s">
        <v>38</v>
      </c>
      <c r="C13" s="6" t="s">
        <v>39</v>
      </c>
      <c r="D13" s="7" t="n">
        <v>0</v>
      </c>
      <c r="E13" s="7" t="n">
        <f aca="false">SUM($D$2:D13)</f>
        <v>12</v>
      </c>
      <c r="F13" s="7" t="n">
        <v>0</v>
      </c>
      <c r="G13" s="7" t="n">
        <v>0</v>
      </c>
      <c r="H13" s="5" t="n">
        <v>0</v>
      </c>
      <c r="I13" s="5" t="n">
        <v>52</v>
      </c>
      <c r="J13" s="6" t="s">
        <v>13</v>
      </c>
      <c r="K13" s="6" t="s">
        <v>40</v>
      </c>
    </row>
    <row r="14" customFormat="false" ht="15" hidden="false" customHeight="false" outlineLevel="0" collapsed="false">
      <c r="A14" s="2" t="n">
        <v>13</v>
      </c>
      <c r="B14" s="3" t="s">
        <v>41</v>
      </c>
      <c r="C14" s="3" t="s">
        <v>42</v>
      </c>
      <c r="D14" s="4" t="n">
        <v>0</v>
      </c>
      <c r="E14" s="4" t="n">
        <f aca="false">SUM($D$2:D14)</f>
        <v>12</v>
      </c>
      <c r="F14" s="4" t="n">
        <v>0</v>
      </c>
      <c r="G14" s="4" t="n">
        <v>0</v>
      </c>
      <c r="H14" s="2" t="n">
        <v>0</v>
      </c>
      <c r="I14" s="2" t="n">
        <v>52</v>
      </c>
      <c r="J14" s="3" t="s">
        <v>13</v>
      </c>
      <c r="K14" s="3"/>
    </row>
    <row r="15" customFormat="false" ht="15" hidden="false" customHeight="false" outlineLevel="0" collapsed="false">
      <c r="A15" s="5" t="n">
        <v>14</v>
      </c>
      <c r="B15" s="6" t="s">
        <v>43</v>
      </c>
      <c r="C15" s="6" t="s">
        <v>44</v>
      </c>
      <c r="D15" s="7" t="n">
        <v>0</v>
      </c>
      <c r="E15" s="7" t="n">
        <f aca="false">SUM($D$2:D15)</f>
        <v>12</v>
      </c>
      <c r="F15" s="7" t="n">
        <v>0</v>
      </c>
      <c r="G15" s="7" t="n">
        <v>0</v>
      </c>
      <c r="H15" s="5" t="n">
        <v>3</v>
      </c>
      <c r="I15" s="5" t="n">
        <v>55</v>
      </c>
      <c r="J15" s="6" t="s">
        <v>13</v>
      </c>
      <c r="K15" s="6"/>
    </row>
    <row r="16" customFormat="false" ht="15" hidden="false" customHeight="false" outlineLevel="0" collapsed="false">
      <c r="A16" s="2" t="n">
        <v>15</v>
      </c>
      <c r="B16" s="3" t="s">
        <v>45</v>
      </c>
      <c r="C16" s="3" t="s">
        <v>36</v>
      </c>
      <c r="D16" s="4" t="n">
        <v>0</v>
      </c>
      <c r="E16" s="4" t="n">
        <f aca="false">SUM($D$2:D16)</f>
        <v>12</v>
      </c>
      <c r="F16" s="4" t="n">
        <v>0</v>
      </c>
      <c r="G16" s="4" t="n">
        <v>0</v>
      </c>
      <c r="H16" s="2" t="n">
        <v>3</v>
      </c>
      <c r="I16" s="2" t="n">
        <v>58</v>
      </c>
      <c r="J16" s="3" t="s">
        <v>13</v>
      </c>
      <c r="K16" s="3"/>
    </row>
    <row r="17" customFormat="false" ht="15" hidden="false" customHeight="false" outlineLevel="0" collapsed="false">
      <c r="A17" s="5" t="n">
        <v>16</v>
      </c>
      <c r="B17" s="6" t="s">
        <v>46</v>
      </c>
      <c r="C17" s="6" t="s">
        <v>18</v>
      </c>
      <c r="D17" s="7" t="n">
        <v>0</v>
      </c>
      <c r="E17" s="7" t="n">
        <f aca="false">SUM($D$2:D17)</f>
        <v>12</v>
      </c>
      <c r="F17" s="7" t="n">
        <v>0</v>
      </c>
      <c r="G17" s="7" t="n">
        <v>0</v>
      </c>
      <c r="H17" s="5" t="n">
        <v>1</v>
      </c>
      <c r="I17" s="5" t="n">
        <v>59</v>
      </c>
      <c r="J17" s="6" t="s">
        <v>13</v>
      </c>
      <c r="K17" s="6" t="s">
        <v>47</v>
      </c>
    </row>
    <row r="18" customFormat="false" ht="15" hidden="false" customHeight="false" outlineLevel="0" collapsed="false">
      <c r="A18" s="2" t="n">
        <v>17</v>
      </c>
      <c r="B18" s="3" t="s">
        <v>48</v>
      </c>
      <c r="C18" s="3" t="s">
        <v>42</v>
      </c>
      <c r="D18" s="4" t="n">
        <v>0</v>
      </c>
      <c r="E18" s="4" t="n">
        <f aca="false">SUM($D$2:D18)</f>
        <v>12</v>
      </c>
      <c r="F18" s="4" t="n">
        <v>0</v>
      </c>
      <c r="G18" s="4" t="n">
        <v>0</v>
      </c>
      <c r="H18" s="2" t="n">
        <v>0</v>
      </c>
      <c r="I18" s="2" t="n">
        <v>59</v>
      </c>
      <c r="J18" s="3" t="s">
        <v>13</v>
      </c>
      <c r="K18" s="3"/>
    </row>
    <row r="19" customFormat="false" ht="15" hidden="false" customHeight="false" outlineLevel="0" collapsed="false">
      <c r="A19" s="5" t="n">
        <v>18</v>
      </c>
      <c r="B19" s="6" t="s">
        <v>49</v>
      </c>
      <c r="C19" s="6" t="s">
        <v>50</v>
      </c>
      <c r="D19" s="7" t="n">
        <v>0</v>
      </c>
      <c r="E19" s="7" t="n">
        <f aca="false">SUM($D$2:D19)</f>
        <v>12</v>
      </c>
      <c r="F19" s="7" t="n">
        <v>0</v>
      </c>
      <c r="G19" s="7" t="n">
        <v>0</v>
      </c>
      <c r="H19" s="5" t="n">
        <v>0</v>
      </c>
      <c r="I19" s="5" t="n">
        <v>59</v>
      </c>
      <c r="J19" s="6" t="s">
        <v>13</v>
      </c>
      <c r="K19" s="6"/>
    </row>
    <row r="20" customFormat="false" ht="15" hidden="false" customHeight="false" outlineLevel="0" collapsed="false">
      <c r="A20" s="2" t="n">
        <v>19</v>
      </c>
      <c r="B20" s="3" t="s">
        <v>51</v>
      </c>
      <c r="C20" s="3" t="s">
        <v>52</v>
      </c>
      <c r="D20" s="4" t="n">
        <v>0</v>
      </c>
      <c r="E20" s="4" t="n">
        <f aca="false">SUM($D$2:D20)</f>
        <v>12</v>
      </c>
      <c r="F20" s="4" t="n">
        <v>10000</v>
      </c>
      <c r="G20" s="4" t="n">
        <v>10000</v>
      </c>
      <c r="H20" s="2" t="n">
        <v>1</v>
      </c>
      <c r="I20" s="2" t="n">
        <v>60</v>
      </c>
      <c r="J20" s="3" t="s">
        <v>13</v>
      </c>
      <c r="K20" s="3" t="s">
        <v>53</v>
      </c>
    </row>
    <row r="21" customFormat="false" ht="15" hidden="false" customHeight="false" outlineLevel="0" collapsed="false">
      <c r="A21" s="5" t="n">
        <v>20</v>
      </c>
      <c r="B21" s="6" t="s">
        <v>54</v>
      </c>
      <c r="C21" s="6" t="s">
        <v>55</v>
      </c>
      <c r="D21" s="7" t="n">
        <v>0</v>
      </c>
      <c r="E21" s="7" t="n">
        <f aca="false">SUM($D$2:D21)</f>
        <v>12</v>
      </c>
      <c r="F21" s="7" t="n">
        <v>0</v>
      </c>
      <c r="G21" s="7" t="n">
        <v>10000</v>
      </c>
      <c r="H21" s="5" t="n">
        <v>0</v>
      </c>
      <c r="I21" s="5" t="n">
        <v>60</v>
      </c>
      <c r="J21" s="6" t="s">
        <v>13</v>
      </c>
      <c r="K21" s="6" t="s">
        <v>56</v>
      </c>
    </row>
    <row r="22" customFormat="false" ht="15" hidden="false" customHeight="false" outlineLevel="0" collapsed="false">
      <c r="A22" s="2" t="n">
        <v>21</v>
      </c>
      <c r="B22" s="3" t="s">
        <v>57</v>
      </c>
      <c r="C22" s="3" t="s">
        <v>58</v>
      </c>
      <c r="D22" s="4" t="n">
        <v>0</v>
      </c>
      <c r="E22" s="4" t="n">
        <f aca="false">SUM($D$2:D22)</f>
        <v>12</v>
      </c>
      <c r="F22" s="4" t="n">
        <v>0</v>
      </c>
      <c r="G22" s="4" t="n">
        <v>10000</v>
      </c>
      <c r="H22" s="2" t="n">
        <v>0</v>
      </c>
      <c r="I22" s="2" t="n">
        <v>60</v>
      </c>
      <c r="J22" s="3" t="s">
        <v>13</v>
      </c>
      <c r="K22" s="3" t="s">
        <v>59</v>
      </c>
    </row>
    <row r="23" customFormat="false" ht="15" hidden="false" customHeight="false" outlineLevel="0" collapsed="false">
      <c r="A23" s="5" t="n">
        <v>22</v>
      </c>
      <c r="B23" s="6" t="s">
        <v>60</v>
      </c>
      <c r="C23" s="6" t="s">
        <v>61</v>
      </c>
      <c r="D23" s="7" t="n">
        <v>0</v>
      </c>
      <c r="E23" s="7" t="n">
        <f aca="false">SUM($D$2:D23)</f>
        <v>12</v>
      </c>
      <c r="F23" s="7" t="n">
        <v>0</v>
      </c>
      <c r="G23" s="7" t="n">
        <v>10000</v>
      </c>
      <c r="H23" s="5" t="n">
        <v>1</v>
      </c>
      <c r="I23" s="5" t="n">
        <v>61</v>
      </c>
      <c r="J23" s="6" t="s">
        <v>13</v>
      </c>
      <c r="K23" s="6" t="s">
        <v>62</v>
      </c>
    </row>
    <row r="24" customFormat="false" ht="15" hidden="false" customHeight="false" outlineLevel="0" collapsed="false">
      <c r="A24" s="2" t="n">
        <v>23</v>
      </c>
      <c r="B24" s="3" t="s">
        <v>63</v>
      </c>
      <c r="C24" s="3" t="s">
        <v>52</v>
      </c>
      <c r="D24" s="4" t="n">
        <v>0</v>
      </c>
      <c r="E24" s="4" t="n">
        <f aca="false">SUM($D$2:D24)</f>
        <v>12</v>
      </c>
      <c r="F24" s="4" t="n">
        <v>10000</v>
      </c>
      <c r="G24" s="4" t="n">
        <v>20000</v>
      </c>
      <c r="H24" s="2" t="n">
        <v>1</v>
      </c>
      <c r="I24" s="2" t="n">
        <v>62</v>
      </c>
      <c r="J24" s="3" t="s">
        <v>13</v>
      </c>
      <c r="K24" s="3" t="s">
        <v>64</v>
      </c>
    </row>
    <row r="25" customFormat="false" ht="15" hidden="false" customHeight="false" outlineLevel="0" collapsed="false">
      <c r="A25" s="5" t="n">
        <v>24</v>
      </c>
      <c r="B25" s="6" t="s">
        <v>65</v>
      </c>
      <c r="C25" s="6" t="s">
        <v>55</v>
      </c>
      <c r="D25" s="7" t="n">
        <v>0</v>
      </c>
      <c r="E25" s="7" t="n">
        <f aca="false">SUM($D$2:D25)</f>
        <v>12</v>
      </c>
      <c r="F25" s="7" t="n">
        <v>0</v>
      </c>
      <c r="G25" s="7" t="n">
        <v>20000</v>
      </c>
      <c r="H25" s="5" t="n">
        <v>0</v>
      </c>
      <c r="I25" s="5" t="n">
        <v>62</v>
      </c>
      <c r="J25" s="6" t="s">
        <v>13</v>
      </c>
      <c r="K25" s="6"/>
    </row>
    <row r="26" customFormat="false" ht="15" hidden="false" customHeight="false" outlineLevel="0" collapsed="false">
      <c r="A26" s="2" t="n">
        <v>25</v>
      </c>
      <c r="B26" s="3" t="s">
        <v>66</v>
      </c>
      <c r="C26" s="3" t="s">
        <v>18</v>
      </c>
      <c r="D26" s="4" t="n">
        <v>0</v>
      </c>
      <c r="E26" s="4" t="n">
        <f aca="false">SUM($D$2:D26)</f>
        <v>12</v>
      </c>
      <c r="F26" s="4" t="n">
        <v>0</v>
      </c>
      <c r="G26" s="4" t="n">
        <v>20000</v>
      </c>
      <c r="H26" s="2" t="n">
        <v>1</v>
      </c>
      <c r="I26" s="2" t="n">
        <v>63</v>
      </c>
      <c r="J26" s="3" t="s">
        <v>13</v>
      </c>
      <c r="K26" s="3" t="s">
        <v>67</v>
      </c>
    </row>
    <row r="27" customFormat="false" ht="15" hidden="false" customHeight="false" outlineLevel="0" collapsed="false">
      <c r="A27" s="5" t="n">
        <v>26</v>
      </c>
      <c r="B27" s="6" t="s">
        <v>68</v>
      </c>
      <c r="C27" s="6" t="s">
        <v>69</v>
      </c>
      <c r="D27" s="7" t="n">
        <v>0</v>
      </c>
      <c r="E27" s="7" t="n">
        <f aca="false">SUM($D$2:D27)</f>
        <v>12</v>
      </c>
      <c r="F27" s="7" t="n">
        <v>0</v>
      </c>
      <c r="G27" s="7" t="n">
        <v>20000</v>
      </c>
      <c r="H27" s="5" t="n">
        <v>10</v>
      </c>
      <c r="I27" s="5" t="n">
        <v>73</v>
      </c>
      <c r="J27" s="6" t="s">
        <v>13</v>
      </c>
      <c r="K27" s="6" t="s">
        <v>70</v>
      </c>
    </row>
    <row r="28" customFormat="false" ht="15" hidden="false" customHeight="false" outlineLevel="0" collapsed="false">
      <c r="A28" s="2" t="n">
        <v>27</v>
      </c>
      <c r="B28" s="3" t="s">
        <v>71</v>
      </c>
      <c r="C28" s="3" t="s">
        <v>72</v>
      </c>
      <c r="D28" s="4" t="n">
        <v>0</v>
      </c>
      <c r="E28" s="4" t="n">
        <f aca="false">SUM($D$2:D28)</f>
        <v>12</v>
      </c>
      <c r="F28" s="4" t="n">
        <v>0</v>
      </c>
      <c r="G28" s="4" t="n">
        <v>20000</v>
      </c>
      <c r="H28" s="2" t="n">
        <v>5</v>
      </c>
      <c r="I28" s="2" t="n">
        <v>78</v>
      </c>
      <c r="J28" s="3" t="s">
        <v>13</v>
      </c>
      <c r="K28" s="3"/>
    </row>
    <row r="29" customFormat="false" ht="15" hidden="false" customHeight="false" outlineLevel="0" collapsed="false">
      <c r="A29" s="5" t="n">
        <v>28</v>
      </c>
      <c r="B29" s="6" t="s">
        <v>73</v>
      </c>
      <c r="C29" s="6" t="s">
        <v>74</v>
      </c>
      <c r="D29" s="7" t="n">
        <v>0</v>
      </c>
      <c r="E29" s="7" t="n">
        <f aca="false">SUM($D$2:D29)</f>
        <v>12</v>
      </c>
      <c r="F29" s="7" t="n">
        <v>3500</v>
      </c>
      <c r="G29" s="7" t="n">
        <v>23500</v>
      </c>
      <c r="H29" s="5" t="n">
        <v>1</v>
      </c>
      <c r="I29" s="5" t="n">
        <v>79</v>
      </c>
      <c r="J29" s="6" t="s">
        <v>13</v>
      </c>
      <c r="K29" s="6" t="s">
        <v>75</v>
      </c>
    </row>
    <row r="30" customFormat="false" ht="15" hidden="false" customHeight="false" outlineLevel="0" collapsed="false">
      <c r="A30" s="2" t="n">
        <v>29</v>
      </c>
      <c r="B30" s="3" t="s">
        <v>76</v>
      </c>
      <c r="C30" s="3" t="s">
        <v>77</v>
      </c>
      <c r="D30" s="4" t="n">
        <v>0</v>
      </c>
      <c r="E30" s="4" t="n">
        <f aca="false">SUM($D$2:D30)</f>
        <v>12</v>
      </c>
      <c r="F30" s="4" t="n">
        <v>0</v>
      </c>
      <c r="G30" s="4" t="n">
        <v>23500</v>
      </c>
      <c r="H30" s="2" t="n">
        <v>5</v>
      </c>
      <c r="I30" s="2" t="n">
        <v>84</v>
      </c>
      <c r="J30" s="3" t="s">
        <v>13</v>
      </c>
      <c r="K30" s="3"/>
    </row>
    <row r="31" customFormat="false" ht="15" hidden="false" customHeight="false" outlineLevel="0" collapsed="false">
      <c r="A31" s="5" t="n">
        <v>30</v>
      </c>
      <c r="B31" s="6" t="s">
        <v>78</v>
      </c>
      <c r="C31" s="6" t="s">
        <v>79</v>
      </c>
      <c r="D31" s="7" t="n">
        <v>0</v>
      </c>
      <c r="E31" s="7" t="n">
        <f aca="false">SUM($D$2:D31)</f>
        <v>12</v>
      </c>
      <c r="F31" s="7" t="n">
        <v>5000</v>
      </c>
      <c r="G31" s="7" t="n">
        <v>28500</v>
      </c>
      <c r="H31" s="5" t="n">
        <v>1</v>
      </c>
      <c r="I31" s="5" t="n">
        <v>85</v>
      </c>
      <c r="J31" s="6" t="s">
        <v>13</v>
      </c>
      <c r="K31" s="6" t="s">
        <v>80</v>
      </c>
    </row>
  </sheetData>
  <conditionalFormatting sqref="J2:J31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"Blocked"</formula>
    </cfRule>
  </conditionalFormatting>
  <dataValidations count="1">
    <dataValidation allowBlank="false" error="Please select a valid status" errorStyle="stop" errorTitle="Invalid Status" operator="between" showDropDown="false" showErrorMessage="false" showInputMessage="false" sqref="J2:J31" type="list">
      <formula1>"Pending,In Progress,Done,Blocked"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35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</row>
    <row r="2" customFormat="false" ht="15" hidden="false" customHeight="false" outlineLevel="0" collapsed="false">
      <c r="A2" s="8" t="s">
        <v>86</v>
      </c>
      <c r="B2" s="8" t="s">
        <v>87</v>
      </c>
      <c r="C2" s="8" t="s">
        <v>88</v>
      </c>
      <c r="D2" s="8" t="s">
        <v>89</v>
      </c>
      <c r="E2" s="8" t="s">
        <v>90</v>
      </c>
    </row>
    <row r="3" customFormat="false" ht="15" hidden="false" customHeight="false" outlineLevel="0" collapsed="false">
      <c r="A3" s="9" t="s">
        <v>91</v>
      </c>
      <c r="B3" s="9" t="s">
        <v>92</v>
      </c>
      <c r="C3" s="9" t="s">
        <v>93</v>
      </c>
      <c r="D3" s="9" t="s">
        <v>94</v>
      </c>
      <c r="E3" s="9" t="s">
        <v>90</v>
      </c>
    </row>
    <row r="4" customFormat="false" ht="15" hidden="false" customHeight="false" outlineLevel="0" collapsed="false">
      <c r="A4" s="8" t="s">
        <v>95</v>
      </c>
      <c r="B4" s="8" t="s">
        <v>96</v>
      </c>
      <c r="C4" s="8" t="s">
        <v>97</v>
      </c>
      <c r="D4" s="8" t="s">
        <v>98</v>
      </c>
      <c r="E4" s="8" t="s">
        <v>90</v>
      </c>
    </row>
    <row r="5" customFormat="false" ht="15" hidden="false" customHeight="false" outlineLevel="0" collapsed="false">
      <c r="A5" s="9" t="s">
        <v>99</v>
      </c>
      <c r="B5" s="9" t="s">
        <v>100</v>
      </c>
      <c r="C5" s="9" t="s">
        <v>101</v>
      </c>
      <c r="D5" s="9" t="s">
        <v>102</v>
      </c>
      <c r="E5" s="9" t="s">
        <v>90</v>
      </c>
    </row>
    <row r="6" customFormat="false" ht="15" hidden="false" customHeight="false" outlineLevel="0" collapsed="false">
      <c r="A6" s="8" t="s">
        <v>103</v>
      </c>
      <c r="B6" s="8" t="s">
        <v>104</v>
      </c>
      <c r="C6" s="8" t="s">
        <v>88</v>
      </c>
      <c r="D6" s="8" t="s">
        <v>105</v>
      </c>
      <c r="E6" s="8" t="s">
        <v>90</v>
      </c>
    </row>
    <row r="7" customFormat="false" ht="15" hidden="false" customHeight="false" outlineLevel="0" collapsed="false">
      <c r="A7" s="9" t="s">
        <v>106</v>
      </c>
      <c r="B7" s="9" t="s">
        <v>107</v>
      </c>
      <c r="C7" s="9" t="s">
        <v>88</v>
      </c>
      <c r="D7" s="9" t="s">
        <v>108</v>
      </c>
      <c r="E7" s="9" t="s">
        <v>109</v>
      </c>
    </row>
    <row r="8" customFormat="false" ht="15" hidden="false" customHeight="false" outlineLevel="0" collapsed="false">
      <c r="A8" s="8" t="s">
        <v>110</v>
      </c>
      <c r="B8" s="8" t="s">
        <v>111</v>
      </c>
      <c r="C8" s="8" t="s">
        <v>88</v>
      </c>
      <c r="D8" s="8" t="s">
        <v>112</v>
      </c>
      <c r="E8" s="8" t="s">
        <v>109</v>
      </c>
    </row>
    <row r="9" customFormat="false" ht="15" hidden="false" customHeight="false" outlineLevel="0" collapsed="false">
      <c r="A9" s="9" t="s">
        <v>113</v>
      </c>
      <c r="B9" s="9" t="s">
        <v>114</v>
      </c>
      <c r="C9" s="9" t="s">
        <v>115</v>
      </c>
      <c r="D9" s="9" t="s">
        <v>116</v>
      </c>
      <c r="E9" s="9" t="s">
        <v>109</v>
      </c>
    </row>
    <row r="10" customFormat="false" ht="15" hidden="false" customHeight="false" outlineLevel="0" collapsed="false">
      <c r="A10" s="8" t="s">
        <v>117</v>
      </c>
      <c r="B10" s="8" t="s">
        <v>118</v>
      </c>
      <c r="C10" s="8" t="s">
        <v>119</v>
      </c>
      <c r="D10" s="8" t="s">
        <v>120</v>
      </c>
      <c r="E10" s="8" t="s">
        <v>90</v>
      </c>
    </row>
    <row r="11" customFormat="false" ht="15" hidden="false" customHeight="false" outlineLevel="0" collapsed="false">
      <c r="A11" s="9" t="s">
        <v>121</v>
      </c>
      <c r="B11" s="9" t="s">
        <v>122</v>
      </c>
      <c r="C11" s="9" t="s">
        <v>88</v>
      </c>
      <c r="D11" s="9" t="s">
        <v>123</v>
      </c>
      <c r="E11" s="9" t="s">
        <v>90</v>
      </c>
    </row>
    <row r="12" customFormat="false" ht="15" hidden="false" customHeight="false" outlineLevel="0" collapsed="false">
      <c r="A12" s="8" t="s">
        <v>124</v>
      </c>
      <c r="B12" s="8" t="s">
        <v>125</v>
      </c>
      <c r="C12" s="8" t="s">
        <v>126</v>
      </c>
      <c r="D12" s="8" t="s">
        <v>127</v>
      </c>
      <c r="E12" s="8" t="s">
        <v>90</v>
      </c>
    </row>
    <row r="13" customFormat="false" ht="15" hidden="false" customHeight="false" outlineLevel="0" collapsed="false">
      <c r="A13" s="9" t="s">
        <v>128</v>
      </c>
      <c r="B13" s="9" t="s">
        <v>129</v>
      </c>
      <c r="C13" s="9" t="s">
        <v>130</v>
      </c>
      <c r="D13" s="9" t="s">
        <v>131</v>
      </c>
      <c r="E13" s="9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8"/>
    <col collapsed="false" customWidth="true" hidden="false" outlineLevel="0" max="7" min="5" style="0" width="28"/>
  </cols>
  <sheetData>
    <row r="1" customFormat="false" ht="15" hidden="false" customHeight="false" outlineLevel="0" collapsed="false">
      <c r="A1" s="10" t="s">
        <v>132</v>
      </c>
      <c r="B1" s="10"/>
      <c r="C1" s="10"/>
      <c r="D1" s="10"/>
      <c r="E1" s="10"/>
      <c r="F1" s="10"/>
    </row>
    <row r="2" customFormat="false" ht="26.85" hidden="false" customHeight="false" outlineLevel="0" collapsed="false">
      <c r="A2" s="1" t="s">
        <v>133</v>
      </c>
      <c r="B2" s="1" t="s">
        <v>134</v>
      </c>
      <c r="C2" s="1" t="s">
        <v>135</v>
      </c>
      <c r="D2" s="1" t="s">
        <v>136</v>
      </c>
      <c r="E2" s="1" t="s">
        <v>137</v>
      </c>
      <c r="F2" s="1" t="s">
        <v>138</v>
      </c>
      <c r="G2" s="1" t="s">
        <v>139</v>
      </c>
    </row>
    <row r="3" customFormat="false" ht="15" hidden="false" customHeight="false" outlineLevel="0" collapsed="false">
      <c r="A3" s="6" t="s">
        <v>140</v>
      </c>
      <c r="B3" s="7" t="n">
        <v>5000</v>
      </c>
      <c r="C3" s="7" t="n">
        <v>10000</v>
      </c>
      <c r="D3" s="7" t="n">
        <v>15000</v>
      </c>
      <c r="E3" s="7" t="n">
        <f aca="false">B3</f>
        <v>5000</v>
      </c>
      <c r="F3" s="7" t="n">
        <f aca="false">C3</f>
        <v>10000</v>
      </c>
      <c r="G3" s="7" t="n">
        <f aca="false">D3</f>
        <v>15000</v>
      </c>
    </row>
    <row r="4" customFormat="false" ht="15" hidden="false" customHeight="false" outlineLevel="0" collapsed="false">
      <c r="A4" s="3" t="s">
        <v>141</v>
      </c>
      <c r="B4" s="4" t="n">
        <v>8000</v>
      </c>
      <c r="C4" s="4" t="n">
        <v>15000</v>
      </c>
      <c r="D4" s="4" t="n">
        <v>25000</v>
      </c>
      <c r="E4" s="4" t="n">
        <f aca="false">E3+B4</f>
        <v>13000</v>
      </c>
      <c r="F4" s="4" t="n">
        <f aca="false">F3+C4</f>
        <v>25000</v>
      </c>
      <c r="G4" s="4" t="n">
        <f aca="false">G3+D4</f>
        <v>40000</v>
      </c>
    </row>
    <row r="5" customFormat="false" ht="15" hidden="false" customHeight="false" outlineLevel="0" collapsed="false">
      <c r="A5" s="6" t="s">
        <v>142</v>
      </c>
      <c r="B5" s="7" t="n">
        <v>12000</v>
      </c>
      <c r="C5" s="7" t="n">
        <v>25000</v>
      </c>
      <c r="D5" s="7" t="n">
        <v>40000</v>
      </c>
      <c r="E5" s="7" t="n">
        <f aca="false">E4+B5</f>
        <v>25000</v>
      </c>
      <c r="F5" s="7" t="n">
        <f aca="false">F4+C5</f>
        <v>50000</v>
      </c>
      <c r="G5" s="7" t="n">
        <f aca="false">G4+D5</f>
        <v>80000</v>
      </c>
    </row>
    <row r="6" customFormat="false" ht="15" hidden="false" customHeight="false" outlineLevel="0" collapsed="false">
      <c r="A6" s="3" t="s">
        <v>143</v>
      </c>
      <c r="B6" s="4" t="n">
        <v>15000</v>
      </c>
      <c r="C6" s="4" t="n">
        <v>35000</v>
      </c>
      <c r="D6" s="4" t="n">
        <v>55000</v>
      </c>
      <c r="E6" s="4" t="n">
        <f aca="false">E5+B6</f>
        <v>40000</v>
      </c>
      <c r="F6" s="4" t="n">
        <f aca="false">F5+C6</f>
        <v>85000</v>
      </c>
      <c r="G6" s="4" t="n">
        <f aca="false">G5+D6</f>
        <v>135000</v>
      </c>
    </row>
    <row r="7" customFormat="false" ht="15" hidden="false" customHeight="false" outlineLevel="0" collapsed="false">
      <c r="A7" s="6" t="s">
        <v>144</v>
      </c>
      <c r="B7" s="7" t="n">
        <v>18000</v>
      </c>
      <c r="C7" s="7" t="n">
        <v>45000</v>
      </c>
      <c r="D7" s="7" t="n">
        <v>70000</v>
      </c>
      <c r="E7" s="7" t="n">
        <f aca="false">E6+B7</f>
        <v>58000</v>
      </c>
      <c r="F7" s="7" t="n">
        <f aca="false">F6+C7</f>
        <v>130000</v>
      </c>
      <c r="G7" s="7" t="n">
        <f aca="false">G6+D7</f>
        <v>205000</v>
      </c>
    </row>
    <row r="8" customFormat="false" ht="15" hidden="false" customHeight="false" outlineLevel="0" collapsed="false">
      <c r="A8" s="3" t="s">
        <v>145</v>
      </c>
      <c r="B8" s="4" t="n">
        <v>22000</v>
      </c>
      <c r="C8" s="4" t="n">
        <v>60000</v>
      </c>
      <c r="D8" s="4" t="n">
        <v>90000</v>
      </c>
      <c r="E8" s="4" t="n">
        <f aca="false">E7+B8</f>
        <v>80000</v>
      </c>
      <c r="F8" s="4" t="n">
        <f aca="false">F7+C8</f>
        <v>190000</v>
      </c>
      <c r="G8" s="4" t="n">
        <f aca="false">G7+D8</f>
        <v>295000</v>
      </c>
    </row>
    <row r="9" customFormat="false" ht="15" hidden="false" customHeight="false" outlineLevel="0" collapsed="false">
      <c r="A9" s="6" t="s">
        <v>146</v>
      </c>
      <c r="B9" s="7" t="n">
        <v>28000</v>
      </c>
      <c r="C9" s="7" t="n">
        <v>75000</v>
      </c>
      <c r="D9" s="7" t="n">
        <v>110000</v>
      </c>
      <c r="E9" s="7" t="n">
        <f aca="false">E8+B9</f>
        <v>108000</v>
      </c>
      <c r="F9" s="7" t="n">
        <f aca="false">F8+C9</f>
        <v>265000</v>
      </c>
      <c r="G9" s="7" t="n">
        <f aca="false">G8+D9</f>
        <v>405000</v>
      </c>
    </row>
    <row r="10" customFormat="false" ht="15" hidden="false" customHeight="false" outlineLevel="0" collapsed="false">
      <c r="A10" s="3" t="s">
        <v>147</v>
      </c>
      <c r="B10" s="4" t="n">
        <v>34000</v>
      </c>
      <c r="C10" s="4" t="n">
        <v>90000</v>
      </c>
      <c r="D10" s="4" t="n">
        <v>135000</v>
      </c>
      <c r="E10" s="4" t="n">
        <f aca="false">E9+B10</f>
        <v>142000</v>
      </c>
      <c r="F10" s="4" t="n">
        <f aca="false">F9+C10</f>
        <v>355000</v>
      </c>
      <c r="G10" s="4" t="n">
        <f aca="false">G9+D10</f>
        <v>540000</v>
      </c>
    </row>
    <row r="11" customFormat="false" ht="15" hidden="false" customHeight="false" outlineLevel="0" collapsed="false">
      <c r="A11" s="6" t="s">
        <v>148</v>
      </c>
      <c r="B11" s="7" t="n">
        <v>40000</v>
      </c>
      <c r="C11" s="7" t="n">
        <v>110000</v>
      </c>
      <c r="D11" s="7" t="n">
        <v>160000</v>
      </c>
      <c r="E11" s="7" t="n">
        <f aca="false">E10+B11</f>
        <v>182000</v>
      </c>
      <c r="F11" s="7" t="n">
        <f aca="false">F10+C11</f>
        <v>465000</v>
      </c>
      <c r="G11" s="7" t="n">
        <f aca="false">G10+D11</f>
        <v>700000</v>
      </c>
    </row>
    <row r="12" customFormat="false" ht="15" hidden="false" customHeight="false" outlineLevel="0" collapsed="false">
      <c r="A12" s="3" t="s">
        <v>149</v>
      </c>
      <c r="B12" s="4" t="n">
        <v>45000</v>
      </c>
      <c r="C12" s="4" t="n">
        <v>130000</v>
      </c>
      <c r="D12" s="4" t="n">
        <v>185000</v>
      </c>
      <c r="E12" s="4" t="n">
        <f aca="false">E11+B12</f>
        <v>227000</v>
      </c>
      <c r="F12" s="4" t="n">
        <f aca="false">F11+C12</f>
        <v>595000</v>
      </c>
      <c r="G12" s="4" t="n">
        <f aca="false">G11+D12</f>
        <v>885000</v>
      </c>
    </row>
    <row r="13" customFormat="false" ht="15" hidden="false" customHeight="false" outlineLevel="0" collapsed="false">
      <c r="A13" s="6" t="s">
        <v>150</v>
      </c>
      <c r="B13" s="7" t="n">
        <v>50000</v>
      </c>
      <c r="C13" s="7" t="n">
        <v>170000</v>
      </c>
      <c r="D13" s="7" t="n">
        <v>210000</v>
      </c>
      <c r="E13" s="7" t="n">
        <f aca="false">E12+B13</f>
        <v>277000</v>
      </c>
      <c r="F13" s="7" t="n">
        <f aca="false">F12+C13</f>
        <v>765000</v>
      </c>
      <c r="G13" s="7" t="n">
        <f aca="false">G12+D13</f>
        <v>1095000</v>
      </c>
    </row>
    <row r="14" customFormat="false" ht="15" hidden="false" customHeight="false" outlineLevel="0" collapsed="false">
      <c r="A14" s="3" t="s">
        <v>151</v>
      </c>
      <c r="B14" s="4" t="n">
        <v>50000</v>
      </c>
      <c r="C14" s="4" t="n">
        <v>200000</v>
      </c>
      <c r="D14" s="4" t="n">
        <v>250000</v>
      </c>
      <c r="E14" s="4" t="n">
        <f aca="false">E13+B14</f>
        <v>327000</v>
      </c>
      <c r="F14" s="4" t="n">
        <f aca="false">F13+C14</f>
        <v>965000</v>
      </c>
      <c r="G14" s="4" t="n">
        <f aca="false">G13+D14</f>
        <v>1345000</v>
      </c>
    </row>
    <row r="15" customFormat="false" ht="15" hidden="false" customHeight="false" outlineLevel="0" collapsed="false">
      <c r="A15" s="11" t="s">
        <v>152</v>
      </c>
      <c r="B15" s="12" t="n">
        <f aca="false">SUM(B3:B14)</f>
        <v>327000</v>
      </c>
      <c r="C15" s="12" t="n">
        <f aca="false">SUM(C3:C14)</f>
        <v>965000</v>
      </c>
      <c r="D15" s="12" t="n">
        <f aca="false">SUM(D3:D14)</f>
        <v>1345000</v>
      </c>
      <c r="E15" s="12" t="n">
        <f aca="false">SUM(E3:E14)</f>
        <v>1484000</v>
      </c>
      <c r="F15" s="12" t="n">
        <f aca="false">SUM(F3:F14)</f>
        <v>3900000</v>
      </c>
      <c r="G15" s="12" t="n">
        <f aca="false">SUM(G3:G14)</f>
        <v>5740000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8"/>
    <col collapsed="false" customWidth="true" hidden="false" outlineLevel="0" max="3" min="3" style="0" width="13"/>
    <col collapsed="false" customWidth="true" hidden="false" outlineLevel="0" max="5" min="4" style="0" width="18"/>
    <col collapsed="false" customWidth="true" hidden="false" outlineLevel="0" max="6" min="6" style="0" width="12"/>
    <col collapsed="false" customWidth="true" hidden="false" outlineLevel="0" max="7" min="7" style="0" width="30"/>
    <col collapsed="false" customWidth="true" hidden="false" outlineLevel="0" max="8" min="8" style="0" width="15"/>
    <col collapsed="false" customWidth="true" hidden="false" outlineLevel="0" max="9" min="9" style="0" width="35"/>
  </cols>
  <sheetData>
    <row r="1" customFormat="false" ht="26.85" hidden="false" customHeight="false" outlineLevel="0" collapsed="false">
      <c r="A1" s="1" t="s">
        <v>153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</row>
    <row r="2" customFormat="false" ht="23.85" hidden="false" customHeight="false" outlineLevel="0" collapsed="false">
      <c r="A2" s="8" t="s">
        <v>162</v>
      </c>
      <c r="B2" s="8" t="s">
        <v>163</v>
      </c>
      <c r="C2" s="13" t="n">
        <v>10000</v>
      </c>
      <c r="D2" s="8" t="s">
        <v>164</v>
      </c>
      <c r="E2" s="13" t="n">
        <v>0</v>
      </c>
      <c r="F2" s="14" t="n">
        <f aca="false">IF(C2=0,0,(C2-E2)/C2)</f>
        <v>1</v>
      </c>
      <c r="G2" s="8" t="s">
        <v>165</v>
      </c>
      <c r="H2" s="8" t="n">
        <v>7</v>
      </c>
      <c r="I2" s="8" t="s">
        <v>166</v>
      </c>
    </row>
    <row r="3" customFormat="false" ht="23.85" hidden="false" customHeight="false" outlineLevel="0" collapsed="false">
      <c r="A3" s="9" t="s">
        <v>167</v>
      </c>
      <c r="B3" s="9" t="s">
        <v>168</v>
      </c>
      <c r="C3" s="15" t="n">
        <v>17500</v>
      </c>
      <c r="D3" s="9" t="s">
        <v>169</v>
      </c>
      <c r="E3" s="15" t="n">
        <v>0</v>
      </c>
      <c r="F3" s="16" t="n">
        <f aca="false">IF(C3=0,0,(C3-E3)/C3)</f>
        <v>1</v>
      </c>
      <c r="G3" s="9" t="s">
        <v>170</v>
      </c>
      <c r="H3" s="9" t="n">
        <v>14</v>
      </c>
      <c r="I3" s="9" t="s">
        <v>171</v>
      </c>
    </row>
    <row r="4" customFormat="false" ht="23.85" hidden="false" customHeight="false" outlineLevel="0" collapsed="false">
      <c r="A4" s="8" t="s">
        <v>172</v>
      </c>
      <c r="B4" s="8" t="s">
        <v>173</v>
      </c>
      <c r="C4" s="13" t="n">
        <v>14000</v>
      </c>
      <c r="D4" s="8" t="s">
        <v>169</v>
      </c>
      <c r="E4" s="13" t="n">
        <v>0</v>
      </c>
      <c r="F4" s="14" t="n">
        <f aca="false">IF(C4=0,0,(C4-E4)/C4)</f>
        <v>1</v>
      </c>
      <c r="G4" s="8" t="s">
        <v>174</v>
      </c>
      <c r="H4" s="8" t="n">
        <v>14</v>
      </c>
      <c r="I4" s="8" t="s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5"/>
    <col collapsed="false" customWidth="true" hidden="false" outlineLevel="0" max="3" min="3" style="0" width="35"/>
    <col collapsed="false" customWidth="true" hidden="false" outlineLevel="0" max="4" min="4" style="0" width="40"/>
  </cols>
  <sheetData>
    <row r="1" customFormat="false" ht="60" hidden="false" customHeight="true" outlineLevel="0" collapsed="false">
      <c r="A1" s="1" t="s">
        <v>176</v>
      </c>
      <c r="B1" s="1" t="s">
        <v>177</v>
      </c>
      <c r="C1" s="1" t="s">
        <v>82</v>
      </c>
      <c r="D1" s="1" t="s">
        <v>178</v>
      </c>
    </row>
    <row r="2" customFormat="false" ht="60" hidden="false" customHeight="true" outlineLevel="0" collapsed="false">
      <c r="A2" s="8" t="s">
        <v>179</v>
      </c>
      <c r="B2" s="8" t="s">
        <v>180</v>
      </c>
      <c r="C2" s="8" t="s">
        <v>181</v>
      </c>
      <c r="D2" s="8" t="s">
        <v>182</v>
      </c>
    </row>
    <row r="3" customFormat="false" ht="60" hidden="false" customHeight="true" outlineLevel="0" collapsed="false">
      <c r="A3" s="9" t="s">
        <v>183</v>
      </c>
      <c r="B3" s="9" t="s">
        <v>184</v>
      </c>
      <c r="C3" s="9" t="s">
        <v>185</v>
      </c>
      <c r="D3" s="9" t="s">
        <v>186</v>
      </c>
    </row>
    <row r="4" customFormat="false" ht="60" hidden="false" customHeight="true" outlineLevel="0" collapsed="false">
      <c r="A4" s="8" t="s">
        <v>187</v>
      </c>
      <c r="B4" s="8" t="s">
        <v>188</v>
      </c>
      <c r="C4" s="8" t="s">
        <v>189</v>
      </c>
      <c r="D4" s="8" t="s">
        <v>190</v>
      </c>
    </row>
    <row r="5" customFormat="false" ht="60" hidden="false" customHeight="true" outlineLevel="0" collapsed="false">
      <c r="A5" s="9" t="s">
        <v>191</v>
      </c>
      <c r="B5" s="9" t="s">
        <v>192</v>
      </c>
      <c r="C5" s="9" t="s">
        <v>193</v>
      </c>
      <c r="D5" s="9" t="s">
        <v>194</v>
      </c>
    </row>
    <row r="6" customFormat="false" ht="60" hidden="false" customHeight="true" outlineLevel="0" collapsed="false">
      <c r="A6" s="8" t="s">
        <v>195</v>
      </c>
      <c r="B6" s="8" t="s">
        <v>196</v>
      </c>
      <c r="C6" s="8" t="s">
        <v>197</v>
      </c>
      <c r="D6" s="8" t="s">
        <v>198</v>
      </c>
    </row>
    <row r="7" customFormat="false" ht="60" hidden="false" customHeight="true" outlineLevel="0" collapsed="false">
      <c r="A7" s="9" t="s">
        <v>199</v>
      </c>
      <c r="B7" s="9" t="s">
        <v>200</v>
      </c>
      <c r="C7" s="9" t="s">
        <v>201</v>
      </c>
      <c r="D7" s="9" t="s">
        <v>202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2026-02-27T16:28:13Z</dcterms:created>
  <dc:creator>openpyxl</dc:creator>
  <dc:description/>
  <dc:language>en-US</dc:language>
  <cp:lastModifiedBy/>
  <dcterms:modified xsi:type="dcterms:W3CDTF">2026-02-27T16:28:13Z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