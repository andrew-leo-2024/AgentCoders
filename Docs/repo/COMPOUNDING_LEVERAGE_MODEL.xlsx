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 Compounding Assets" sheetId="1" state="visible" r:id="rId3"/>
    <sheet name="Leverage Mechanics" sheetId="2" state="visible" r:id="rId4"/>
    <sheet name="Compounding Revenue Model" sheetId="3" state="visible" r:id="rId5"/>
    <sheet name="Infrastructure Timeline" sheetId="4" state="visible" r:id="rId6"/>
    <sheet name="Wealth Compounding" sheetId="5" state="visible" r:id="rId7"/>
    <sheet name="Daily Compounding Ac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<sst xmlns="http://schemas.openxmlformats.org/spreadsheetml/2006/main" count="186" uniqueCount="183">
  <si>
    <t xml:space="preserve">Asset Class</t>
  </si>
  <si>
    <t xml:space="preserve">What Compounds</t>
  </si>
  <si>
    <t xml:space="preserve">Compounding Mechanism</t>
  </si>
  <si>
    <t xml:space="preserve">Monthly Growth Rate</t>
  </si>
  <si>
    <t xml:space="preserve">Value at Month 6</t>
  </si>
  <si>
    <t xml:space="preserve">Value at Month 12</t>
  </si>
  <si>
    <t xml:space="preserve">Value at Month 24</t>
  </si>
  <si>
    <t xml:space="preserve">Value at Month 36</t>
  </si>
  <si>
    <t xml:space="preserve">Leverage Multiplier</t>
  </si>
  <si>
    <t xml:space="preserve">Execution Telemetry</t>
  </si>
  <si>
    <t xml:space="preserve">Every delivery generates failure/success data</t>
  </si>
  <si>
    <t xml:space="preserve">More data = better diagnostics = higher close rate</t>
  </si>
  <si>
    <t xml:space="preserve">10x (data moat)</t>
  </si>
  <si>
    <t xml:space="preserve">Client Relationships</t>
  </si>
  <si>
    <t xml:space="preserve">Every client becomes reference + upsell</t>
  </si>
  <si>
    <t xml:space="preserve">Trust compounds: diagnostic → implementation → retainer → license</t>
  </si>
  <si>
    <t xml:space="preserve">5x (LTV expansion)</t>
  </si>
  <si>
    <t xml:space="preserve">Operator Pipeline</t>
  </si>
  <si>
    <t xml:space="preserve">Every operator trained = delivery capacity</t>
  </si>
  <si>
    <t xml:space="preserve">Operators create operators (senior trains junior)</t>
  </si>
  <si>
    <t xml:space="preserve">20x (labor leverage)</t>
  </si>
  <si>
    <t xml:space="preserve">IP &amp; Frameworks</t>
  </si>
  <si>
    <t xml:space="preserve">Every engagement refines methodology</t>
  </si>
  <si>
    <t xml:space="preserve">Frameworks become licensable, certifiable, defensible</t>
  </si>
  <si>
    <t xml:space="preserve">50x (IP licensing)</t>
  </si>
  <si>
    <t xml:space="preserve">Credibility &amp; Case Studies</t>
  </si>
  <si>
    <t xml:space="preserve">Every success = proof for next buyer</t>
  </si>
  <si>
    <t xml:space="preserve">Social proof compounds: 1 case study → 3 leads → 1 deal → 1 more case study</t>
  </si>
  <si>
    <t xml:space="preserve">8x (trust premium)</t>
  </si>
  <si>
    <t xml:space="preserve">Governance Authority</t>
  </si>
  <si>
    <t xml:space="preserve">Every PIAR = precedent + institutional memory</t>
  </si>
  <si>
    <t xml:space="preserve">Standards compound: first precedent → industry norm → regulatory expectation</t>
  </si>
  <si>
    <t xml:space="preserve">100x (monopoly)</t>
  </si>
  <si>
    <t xml:space="preserve">Infrastructure Position</t>
  </si>
  <si>
    <t xml:space="preserve">Every obligation processed = network effect</t>
  </si>
  <si>
    <t xml:space="preserve">ORF: more users = more netting = more value per user</t>
  </si>
  <si>
    <t xml:space="preserve">1000x (GDP-scale)</t>
  </si>
  <si>
    <t xml:space="preserve">Key insight: Assets 1-5 compound FAST (monthly). Assets 6-7 compound SLOW but create INFINITE leverage.</t>
  </si>
  <si>
    <t xml:space="preserve">Sequence: build 1-5 first to fund 6-7.</t>
  </si>
  <si>
    <t xml:space="preserve">Revenue Source</t>
  </si>
  <si>
    <t xml:space="preserve">Direct Revenue</t>
  </si>
  <si>
    <t xml:space="preserve">Data Generated</t>
  </si>
  <si>
    <t xml:space="preserve">Relationships Created</t>
  </si>
  <si>
    <t xml:space="preserve">IP Created</t>
  </si>
  <si>
    <t xml:space="preserve">Credibility Created</t>
  </si>
  <si>
    <t xml:space="preserve">Operator Hours Funded</t>
  </si>
  <si>
    <t xml:space="preserve">Infrastructure Positioned</t>
  </si>
  <si>
    <t xml:space="preserve">Total Leverage Multiple</t>
  </si>
  <si>
    <t xml:space="preserve">Chokepoint Diagnostic $10K</t>
  </si>
  <si>
    <t xml:space="preserve">Full operations map of 1 company</t>
  </si>
  <si>
    <t xml:space="preserve">COO + CFO + ops team</t>
  </si>
  <si>
    <t xml:space="preserve">1 diagnostic framework iteration</t>
  </si>
  <si>
    <t xml:space="preserve">1 case study</t>
  </si>
  <si>
    <t xml:space="preserve">1 failure pattern catalogued</t>
  </si>
  <si>
    <t xml:space="preserve">Billing Leakage $25K</t>
  </si>
  <si>
    <t xml:space="preserve">Complete billing data integration</t>
  </si>
  <si>
    <t xml:space="preserve">CFO + finance team + vendor contacts</t>
  </si>
  <si>
    <t xml:space="preserve">Reconciliation algorithm</t>
  </si>
  <si>
    <t xml:space="preserve">1 case study + ROI proof</t>
  </si>
  <si>
    <t xml:space="preserve">1 contract grammar pattern</t>
  </si>
  <si>
    <t xml:space="preserve">Operator Track $75K</t>
  </si>
  <si>
    <t xml:space="preserve">25 operator performance profiles</t>
  </si>
  <si>
    <t xml:space="preserve">25 operators + their networks</t>
  </si>
  <si>
    <t xml:space="preserve">Training curriculum v1</t>
  </si>
  <si>
    <t xml:space="preserve">Program completion data</t>
  </si>
  <si>
    <t xml:space="preserve">25 governed execution nodes</t>
  </si>
  <si>
    <t xml:space="preserve">Insurance Claims $150K</t>
  </si>
  <si>
    <t xml:space="preserve">50K claims processing data</t>
  </si>
  <si>
    <t xml:space="preserve">Carrier + adjuster network</t>
  </si>
  <si>
    <t xml:space="preserve">Claims automation IP</t>
  </si>
  <si>
    <t xml:space="preserve">Industry benchmark data</t>
  </si>
  <si>
    <t xml:space="preserve">Outcome insurance data</t>
  </si>
  <si>
    <t xml:space="preserve">Governance License $200K</t>
  </si>
  <si>
    <t xml:space="preserve">Enterprise governance telemetry</t>
  </si>
  <si>
    <t xml:space="preserve">C-suite + board + regulator</t>
  </si>
  <si>
    <t xml:space="preserve">PIAR framework + precedents</t>
  </si>
  <si>
    <t xml:space="preserve">Institutional endorsement</t>
  </si>
  <si>
    <t xml:space="preserve">Regulatory position</t>
  </si>
  <si>
    <t xml:space="preserve">ORF Protocol $500K</t>
  </si>
  <si>
    <t xml:space="preserve">Cross-border obligation data</t>
  </si>
  <si>
    <t xml:space="preserve">Institutional network</t>
  </si>
  <si>
    <t xml:space="preserve">Obligation grammar IP</t>
  </si>
  <si>
    <t xml:space="preserve">Infrastructure authority</t>
  </si>
  <si>
    <t xml:space="preserve">GDP-adjacent position</t>
  </si>
  <si>
    <t xml:space="preserve">TOTALS</t>
  </si>
  <si>
    <t xml:space="preserve">Month</t>
  </si>
  <si>
    <t xml:space="preserve">Base Revenue</t>
  </si>
  <si>
    <t xml:space="preserve">Upsell Revenue</t>
  </si>
  <si>
    <t xml:space="preserve">Referral Revenue</t>
  </si>
  <si>
    <t xml:space="preserve">Operator Leverage</t>
  </si>
  <si>
    <t xml:space="preserve">Data Premium</t>
  </si>
  <si>
    <t xml:space="preserve">Total Revenue</t>
  </si>
  <si>
    <t xml:space="preserve">Cumulative Revenue</t>
  </si>
  <si>
    <t xml:space="preserve">Client Count</t>
  </si>
  <si>
    <t xml:space="preserve">Operator Count</t>
  </si>
  <si>
    <t xml:space="preserve">Data Points (millions)</t>
  </si>
  <si>
    <t xml:space="preserve">Compounding Rate</t>
  </si>
  <si>
    <t xml:space="preserve">Infrastructure Layer</t>
  </si>
  <si>
    <t xml:space="preserve">Revenue Trigger</t>
  </si>
  <si>
    <t xml:space="preserve">Month Activated</t>
  </si>
  <si>
    <t xml:space="preserve">Capital Required</t>
  </si>
  <si>
    <t xml:space="preserve">Revenue Contribution</t>
  </si>
  <si>
    <t xml:space="preserve">Compounding Effect</t>
  </si>
  <si>
    <t xml:space="preserve">Dependency</t>
  </si>
  <si>
    <t xml:space="preserve">Service Delivery (Diagnostics)</t>
  </si>
  <si>
    <t xml:space="preserve">$0</t>
  </si>
  <si>
    <t xml:space="preserve">Month 1</t>
  </si>
  <si>
    <t xml:space="preserve">$5-15K/deal</t>
  </si>
  <si>
    <t xml:space="preserve">Linear</t>
  </si>
  <si>
    <t xml:space="preserve">None</t>
  </si>
  <si>
    <t xml:space="preserve">AI-Augmented Delivery</t>
  </si>
  <si>
    <t xml:space="preserve">$10K/mo</t>
  </si>
  <si>
    <t xml:space="preserve">Month 2-3</t>
  </si>
  <si>
    <t xml:space="preserve">$100/mo</t>
  </si>
  <si>
    <t xml:space="preserve">2x throughput</t>
  </si>
  <si>
    <t xml:space="preserve">Sublinear cost</t>
  </si>
  <si>
    <t xml:space="preserve">Service delivery</t>
  </si>
  <si>
    <t xml:space="preserve">Operator Track</t>
  </si>
  <si>
    <t xml:space="preserve">$25K/mo</t>
  </si>
  <si>
    <t xml:space="preserve">Month 4-5</t>
  </si>
  <si>
    <t xml:space="preserve">$2K</t>
  </si>
  <si>
    <t xml:space="preserve">$75K/cohort</t>
  </si>
  <si>
    <t xml:space="preserve">Exponential (operators create operators)</t>
  </si>
  <si>
    <t xml:space="preserve">Proven delivery</t>
  </si>
  <si>
    <t xml:space="preserve">Data Moat (Telemetry)</t>
  </si>
  <si>
    <t xml:space="preserve">$50K/mo</t>
  </si>
  <si>
    <t xml:space="preserve">Month 6-8</t>
  </si>
  <si>
    <t xml:space="preserve">$500/mo</t>
  </si>
  <si>
    <t xml:space="preserve">10% pricing premium</t>
  </si>
  <si>
    <t xml:space="preserve">Logarithmic (diminishing but permanent)</t>
  </si>
  <si>
    <t xml:space="preserve">Volume of deliveries</t>
  </si>
  <si>
    <t xml:space="preserve">Governance Framework</t>
  </si>
  <si>
    <t xml:space="preserve">$100K/mo</t>
  </si>
  <si>
    <t xml:space="preserve">Month 9-12</t>
  </si>
  <si>
    <t xml:space="preserve">$5K</t>
  </si>
  <si>
    <t xml:space="preserve">$25-75K/PIAR</t>
  </si>
  <si>
    <t xml:space="preserve">Power law (each precedent = authority)</t>
  </si>
  <si>
    <t xml:space="preserve">Case studies + credibility</t>
  </si>
  <si>
    <t xml:space="preserve">Insurance Layer</t>
  </si>
  <si>
    <t xml:space="preserve">$200K/mo</t>
  </si>
  <si>
    <t xml:space="preserve">Month 12-18</t>
  </si>
  <si>
    <t xml:space="preserve">$20K</t>
  </si>
  <si>
    <t xml:space="preserve">$3-7/claim</t>
  </si>
  <si>
    <t xml:space="preserve">Network effects</t>
  </si>
  <si>
    <t xml:space="preserve">Telemetry + governance</t>
  </si>
  <si>
    <t xml:space="preserve">Obligation Infrastructure (ORF)</t>
  </si>
  <si>
    <t xml:space="preserve">$500K/mo</t>
  </si>
  <si>
    <t xml:space="preserve">Month 18-30</t>
  </si>
  <si>
    <t xml:space="preserve">$100K</t>
  </si>
  <si>
    <t xml:space="preserve">0.1-0.5% of flows</t>
  </si>
  <si>
    <t xml:space="preserve">GDP-scale network</t>
  </si>
  <si>
    <t xml:space="preserve">All above</t>
  </si>
  <si>
    <t xml:space="preserve">Constitutional Layer</t>
  </si>
  <si>
    <t xml:space="preserve">$1M/mo</t>
  </si>
  <si>
    <t xml:space="preserve">Month 30-48</t>
  </si>
  <si>
    <t xml:space="preserve">$500K</t>
  </si>
  <si>
    <t xml:space="preserve">Participation rent</t>
  </si>
  <si>
    <t xml:space="preserve">Civilization-scale lock-in</t>
  </si>
  <si>
    <t xml:space="preserve">Year</t>
  </si>
  <si>
    <t xml:space="preserve">Annual Revenue</t>
  </si>
  <si>
    <t xml:space="preserve">Net Margin %</t>
  </si>
  <si>
    <t xml:space="preserve">Annual Profit</t>
  </si>
  <si>
    <t xml:space="preserve">Revenue Multiple</t>
  </si>
  <si>
    <t xml:space="preserve">Enterprise Valuation</t>
  </si>
  <si>
    <t xml:space="preserve">Founder Equity %</t>
  </si>
  <si>
    <t xml:space="preserve">Founder Wealth</t>
  </si>
  <si>
    <t xml:space="preserve">Wealth Growth Rate</t>
  </si>
  <si>
    <t xml:space="preserve">Infrastructure Premium</t>
  </si>
  <si>
    <t xml:space="preserve">Without infrastructure: 3-8x revenue (consulting)</t>
  </si>
  <si>
    <t xml:space="preserve">With data moat: 8-15x (SaaS)</t>
  </si>
  <si>
    <t xml:space="preserve">With governance authority: 15-25x (regulatory infrastructure)</t>
  </si>
  <si>
    <t xml:space="preserve">With obligation infrastructure: 25-40x+ (GDP-scale coordination)</t>
  </si>
  <si>
    <t xml:space="preserve">Day</t>
  </si>
  <si>
    <t xml:space="preserve">Date</t>
  </si>
  <si>
    <t xml:space="preserve">Primary Action</t>
  </si>
  <si>
    <t xml:space="preserve">Conversations</t>
  </si>
  <si>
    <t xml:space="preserve">Proposals Sent</t>
  </si>
  <si>
    <t xml:space="preserve">Deals Closed</t>
  </si>
  <si>
    <t xml:space="preserve">Revenue</t>
  </si>
  <si>
    <t xml:space="preserve">Data Points Captured</t>
  </si>
  <si>
    <t xml:space="preserve">Frameworks Iterated</t>
  </si>
  <si>
    <t xml:space="preserve">Operators Engaged</t>
  </si>
  <si>
    <t xml:space="preserve">Notes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</si>
</sst>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\$#,##0"/>
    <numFmt numFmtId="167" formatCode="0"/>
    <numFmt numFmtId="168" formatCode="\$#,##0"/>
    <numFmt numFmtId="169" formatCode="0.0%"/>
    <numFmt numFmtId="170" formatCode="0.0\x"/>
    <numFmt numFmtId="171" formatCode="mm/dd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i val="true"/>
      <sz val="1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E8E8E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35"/>
    <col collapsed="false" customWidth="true" hidden="false" outlineLevel="0" max="4" min="4" style="1" width="18"/>
    <col collapsed="false" customWidth="true" hidden="false" outlineLevel="0" max="8" min="5" style="1" width="15"/>
    <col collapsed="false" customWidth="true" hidden="false" outlineLevel="0" max="9" min="9" style="1" width="22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3.25" hidden="false" customHeight="true" outlineLevel="0" collapsed="false">
      <c r="A2" s="3" t="s">
        <v>9</v>
      </c>
      <c r="B2" s="3" t="s">
        <v>10</v>
      </c>
      <c r="C2" s="3" t="s">
        <v>11</v>
      </c>
      <c r="D2" s="4" t="n">
        <v>0.15</v>
      </c>
      <c r="E2" s="5" t="n">
        <f aca="false">1*(1+D2)^6</f>
        <v>2.313060765625</v>
      </c>
      <c r="F2" s="5" t="n">
        <f aca="false">1*(1+D2)^12</f>
        <v>5.35025010547371</v>
      </c>
      <c r="G2" s="5" t="n">
        <f aca="false">1*(1+D2)^24</f>
        <v>28.6251761911214</v>
      </c>
      <c r="H2" s="5" t="n">
        <f aca="false">1*(1+D2)^36</f>
        <v>153.151851935751</v>
      </c>
      <c r="I2" s="6" t="s">
        <v>12</v>
      </c>
    </row>
    <row r="3" customFormat="false" ht="23.25" hidden="false" customHeight="true" outlineLevel="0" collapsed="false">
      <c r="A3" s="3" t="s">
        <v>13</v>
      </c>
      <c r="B3" s="3" t="s">
        <v>14</v>
      </c>
      <c r="C3" s="3" t="s">
        <v>15</v>
      </c>
      <c r="D3" s="4" t="n">
        <v>0.08</v>
      </c>
      <c r="E3" s="5" t="n">
        <f aca="false">1*(1+D3)^6</f>
        <v>1.586874322944</v>
      </c>
      <c r="F3" s="5" t="n">
        <f aca="false">1*(1+D3)^12</f>
        <v>2.51817011681898</v>
      </c>
      <c r="G3" s="5" t="n">
        <f aca="false">1*(1+D3)^24</f>
        <v>6.34118073724012</v>
      </c>
      <c r="H3" s="5" t="n">
        <f aca="false">1*(1+D3)^36</f>
        <v>15.9681718378662</v>
      </c>
      <c r="I3" s="6" t="s">
        <v>16</v>
      </c>
    </row>
    <row r="4" customFormat="false" ht="23.25" hidden="false" customHeight="true" outlineLevel="0" collapsed="false">
      <c r="A4" s="3" t="s">
        <v>17</v>
      </c>
      <c r="B4" s="3" t="s">
        <v>18</v>
      </c>
      <c r="C4" s="3" t="s">
        <v>19</v>
      </c>
      <c r="D4" s="4" t="n">
        <v>0.12</v>
      </c>
      <c r="E4" s="5" t="n">
        <f aca="false">1*(1+D4)^6</f>
        <v>1.973822685184</v>
      </c>
      <c r="F4" s="5" t="n">
        <f aca="false">1*(1+D4)^12</f>
        <v>3.89597599254698</v>
      </c>
      <c r="G4" s="5" t="n">
        <f aca="false">1*(1+D4)^24</f>
        <v>15.1786289345024</v>
      </c>
      <c r="H4" s="5" t="n">
        <f aca="false">1*(1+D4)^36</f>
        <v>59.1355739286004</v>
      </c>
      <c r="I4" s="6" t="s">
        <v>20</v>
      </c>
    </row>
    <row r="5" customFormat="false" ht="23.25" hidden="false" customHeight="true" outlineLevel="0" collapsed="false">
      <c r="A5" s="3" t="s">
        <v>21</v>
      </c>
      <c r="B5" s="3" t="s">
        <v>22</v>
      </c>
      <c r="C5" s="3" t="s">
        <v>23</v>
      </c>
      <c r="D5" s="4" t="n">
        <v>0.06</v>
      </c>
      <c r="E5" s="5" t="n">
        <f aca="false">1*(1+D5)^6</f>
        <v>1.418519112256</v>
      </c>
      <c r="F5" s="5" t="n">
        <f aca="false">1*(1+D5)^12</f>
        <v>2.01219647183555</v>
      </c>
      <c r="G5" s="5" t="n">
        <f aca="false">1*(1+D5)^24</f>
        <v>4.04893464126744</v>
      </c>
      <c r="H5" s="5" t="n">
        <f aca="false">1*(1+D5)^36</f>
        <v>8.14725199985109</v>
      </c>
      <c r="I5" s="6" t="s">
        <v>24</v>
      </c>
    </row>
    <row r="6" customFormat="false" ht="23.25" hidden="false" customHeight="true" outlineLevel="0" collapsed="false">
      <c r="A6" s="3" t="s">
        <v>25</v>
      </c>
      <c r="B6" s="3" t="s">
        <v>26</v>
      </c>
      <c r="C6" s="3" t="s">
        <v>27</v>
      </c>
      <c r="D6" s="4" t="n">
        <v>0.1</v>
      </c>
      <c r="E6" s="5" t="n">
        <f aca="false">1*(1+D6)^6</f>
        <v>1.771561</v>
      </c>
      <c r="F6" s="5" t="n">
        <f aca="false">1*(1+D6)^12</f>
        <v>3.138428376721</v>
      </c>
      <c r="G6" s="5" t="n">
        <f aca="false">1*(1+D6)^24</f>
        <v>9.84973267580763</v>
      </c>
      <c r="H6" s="5" t="n">
        <f aca="false">1*(1+D6)^36</f>
        <v>30.9126805328708</v>
      </c>
      <c r="I6" s="6" t="s">
        <v>28</v>
      </c>
    </row>
    <row r="7" customFormat="false" ht="23.25" hidden="false" customHeight="true" outlineLevel="0" collapsed="false">
      <c r="A7" s="3" t="s">
        <v>29</v>
      </c>
      <c r="B7" s="3" t="s">
        <v>30</v>
      </c>
      <c r="C7" s="3" t="s">
        <v>31</v>
      </c>
      <c r="D7" s="4" t="n">
        <v>0.04</v>
      </c>
      <c r="E7" s="5" t="n">
        <f aca="false">1*(1+D7)^6</f>
        <v>1.265319018496</v>
      </c>
      <c r="F7" s="5" t="n">
        <f aca="false">1*(1+D7)^12</f>
        <v>1.60103221856768</v>
      </c>
      <c r="G7" s="5" t="n">
        <f aca="false">1*(1+D7)^24</f>
        <v>2.56330416489175</v>
      </c>
      <c r="H7" s="5" t="n">
        <f aca="false">1*(1+D7)^36</f>
        <v>4.10393255398042</v>
      </c>
      <c r="I7" s="6" t="s">
        <v>32</v>
      </c>
    </row>
    <row r="8" customFormat="false" ht="23.25" hidden="false" customHeight="true" outlineLevel="0" collapsed="false">
      <c r="A8" s="3" t="s">
        <v>33</v>
      </c>
      <c r="B8" s="3" t="s">
        <v>34</v>
      </c>
      <c r="C8" s="3" t="s">
        <v>35</v>
      </c>
      <c r="D8" s="4" t="n">
        <v>0.03</v>
      </c>
      <c r="E8" s="5" t="n">
        <f aca="false">1*(1+D8)^6</f>
        <v>1.194052296529</v>
      </c>
      <c r="F8" s="5" t="n">
        <f aca="false">1*(1+D8)^12</f>
        <v>1.42576088684618</v>
      </c>
      <c r="G8" s="5" t="n">
        <f aca="false">1*(1+D8)^24</f>
        <v>2.0327941064604</v>
      </c>
      <c r="H8" s="5" t="n">
        <f aca="false">1*(1+D8)^36</f>
        <v>2.89827832800267</v>
      </c>
      <c r="I8" s="6" t="s">
        <v>36</v>
      </c>
    </row>
    <row r="10" customFormat="false" ht="15" hidden="false" customHeight="true" outlineLevel="0" collapsed="false">
      <c r="A10" s="7" t="s">
        <v>37</v>
      </c>
      <c r="B10" s="7"/>
      <c r="C10" s="7"/>
      <c r="D10" s="7"/>
      <c r="E10" s="7"/>
      <c r="F10" s="7"/>
      <c r="G10" s="7"/>
      <c r="H10" s="7"/>
      <c r="I10" s="7"/>
    </row>
    <row r="11" customFormat="false" ht="15" hidden="false" customHeight="true" outlineLevel="0" collapsed="false">
      <c r="A11" s="8" t="s">
        <v>38</v>
      </c>
      <c r="B11" s="8"/>
      <c r="C11" s="8"/>
      <c r="D11" s="8"/>
      <c r="E11" s="8"/>
      <c r="F11" s="8"/>
      <c r="G11" s="8"/>
      <c r="H11" s="8"/>
      <c r="I11" s="8"/>
    </row>
  </sheetData>
  <mergeCells count="2">
    <mergeCell ref="A10:I10"/>
    <mergeCell ref="A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5"/>
    <col collapsed="false" customWidth="true" hidden="false" outlineLevel="0" max="3" min="3" style="1" width="28"/>
    <col collapsed="false" customWidth="true" hidden="false" outlineLevel="0" max="4" min="4" style="1" width="30"/>
    <col collapsed="false" customWidth="true" hidden="false" outlineLevel="0" max="6" min="5" style="1" width="28"/>
    <col collapsed="false" customWidth="true" hidden="false" outlineLevel="0" max="7" min="7" style="1" width="18"/>
    <col collapsed="false" customWidth="true" hidden="false" outlineLevel="0" max="8" min="8" style="1" width="28"/>
    <col collapsed="false" customWidth="true" hidden="false" outlineLevel="0" max="9" min="9" style="1" width="20"/>
  </cols>
  <sheetData>
    <row r="1" customFormat="false" ht="26.25" hidden="false" customHeight="true" outlineLevel="0" collapsed="false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</row>
    <row r="2" customFormat="false" ht="26.25" hidden="false" customHeight="true" outlineLevel="0" collapsed="false">
      <c r="A2" s="3" t="s">
        <v>48</v>
      </c>
      <c r="B2" s="9" t="n">
        <v>10000</v>
      </c>
      <c r="C2" s="6" t="s">
        <v>49</v>
      </c>
      <c r="D2" s="6" t="s">
        <v>50</v>
      </c>
      <c r="E2" s="6" t="s">
        <v>51</v>
      </c>
      <c r="F2" s="6" t="s">
        <v>52</v>
      </c>
      <c r="G2" s="6" t="n">
        <f aca="false">40</f>
        <v>40</v>
      </c>
      <c r="H2" s="6" t="s">
        <v>53</v>
      </c>
      <c r="I2" s="9" t="n">
        <f aca="false">B2+G2</f>
        <v>10040</v>
      </c>
    </row>
    <row r="3" customFormat="false" ht="26.25" hidden="false" customHeight="true" outlineLevel="0" collapsed="false">
      <c r="A3" s="3" t="s">
        <v>54</v>
      </c>
      <c r="B3" s="9" t="n">
        <v>25000</v>
      </c>
      <c r="C3" s="6" t="s">
        <v>55</v>
      </c>
      <c r="D3" s="6" t="s">
        <v>56</v>
      </c>
      <c r="E3" s="6" t="s">
        <v>57</v>
      </c>
      <c r="F3" s="6" t="s">
        <v>58</v>
      </c>
      <c r="G3" s="6" t="n">
        <f aca="false">80</f>
        <v>80</v>
      </c>
      <c r="H3" s="6" t="s">
        <v>59</v>
      </c>
      <c r="I3" s="9" t="n">
        <f aca="false">B3+G3</f>
        <v>25080</v>
      </c>
    </row>
    <row r="4" customFormat="false" ht="26.25" hidden="false" customHeight="true" outlineLevel="0" collapsed="false">
      <c r="A4" s="3" t="s">
        <v>60</v>
      </c>
      <c r="B4" s="9" t="n">
        <v>75000</v>
      </c>
      <c r="C4" s="6" t="s">
        <v>61</v>
      </c>
      <c r="D4" s="6" t="s">
        <v>62</v>
      </c>
      <c r="E4" s="6" t="s">
        <v>63</v>
      </c>
      <c r="F4" s="6" t="s">
        <v>64</v>
      </c>
      <c r="G4" s="6" t="n">
        <f aca="false">500</f>
        <v>500</v>
      </c>
      <c r="H4" s="6" t="s">
        <v>65</v>
      </c>
      <c r="I4" s="9" t="n">
        <f aca="false">B4+G4</f>
        <v>75500</v>
      </c>
    </row>
    <row r="5" customFormat="false" ht="15" hidden="false" customHeight="true" outlineLevel="0" collapsed="false">
      <c r="A5" s="3" t="s">
        <v>66</v>
      </c>
      <c r="B5" s="9" t="n">
        <v>150000</v>
      </c>
      <c r="C5" s="6" t="s">
        <v>67</v>
      </c>
      <c r="D5" s="6" t="s">
        <v>68</v>
      </c>
      <c r="E5" s="6" t="s">
        <v>69</v>
      </c>
      <c r="F5" s="6" t="s">
        <v>70</v>
      </c>
      <c r="G5" s="6" t="n">
        <f aca="false">2000</f>
        <v>2000</v>
      </c>
      <c r="H5" s="6" t="s">
        <v>71</v>
      </c>
      <c r="I5" s="9" t="n">
        <f aca="false">B5+G5</f>
        <v>152000</v>
      </c>
    </row>
    <row r="6" customFormat="false" ht="26.25" hidden="false" customHeight="true" outlineLevel="0" collapsed="false">
      <c r="A6" s="3" t="s">
        <v>72</v>
      </c>
      <c r="B6" s="9" t="n">
        <v>200000</v>
      </c>
      <c r="C6" s="6" t="s">
        <v>73</v>
      </c>
      <c r="D6" s="6" t="s">
        <v>74</v>
      </c>
      <c r="E6" s="6" t="s">
        <v>75</v>
      </c>
      <c r="F6" s="6" t="s">
        <v>76</v>
      </c>
      <c r="G6" s="6" t="n">
        <f aca="false">1000</f>
        <v>1000</v>
      </c>
      <c r="H6" s="6" t="s">
        <v>77</v>
      </c>
      <c r="I6" s="9" t="n">
        <f aca="false">B6+G6</f>
        <v>201000</v>
      </c>
    </row>
    <row r="7" customFormat="false" ht="15" hidden="false" customHeight="true" outlineLevel="0" collapsed="false">
      <c r="A7" s="3" t="s">
        <v>78</v>
      </c>
      <c r="B7" s="9" t="n">
        <v>500000</v>
      </c>
      <c r="C7" s="6" t="s">
        <v>79</v>
      </c>
      <c r="D7" s="6" t="s">
        <v>80</v>
      </c>
      <c r="E7" s="6" t="s">
        <v>81</v>
      </c>
      <c r="F7" s="6" t="s">
        <v>82</v>
      </c>
      <c r="G7" s="6" t="n">
        <f aca="false">5000</f>
        <v>5000</v>
      </c>
      <c r="H7" s="6" t="s">
        <v>83</v>
      </c>
      <c r="I7" s="9" t="n">
        <f aca="false">B7+G7</f>
        <v>505000</v>
      </c>
    </row>
    <row r="8" customFormat="false" ht="15" hidden="false" customHeight="true" outlineLevel="0" collapsed="false">
      <c r="I8" s="1" t="n">
        <f aca="false">B8+G8</f>
        <v>0</v>
      </c>
    </row>
    <row r="9" customFormat="false" ht="15" hidden="false" customHeight="true" outlineLevel="0" collapsed="false">
      <c r="A9" s="10" t="s">
        <v>84</v>
      </c>
      <c r="B9" s="11" t="n">
        <f aca="false">SUM(B2:B7)</f>
        <v>960000</v>
      </c>
      <c r="G9" s="12" t="n">
        <f aca="false">SUM(G2:G7)</f>
        <v>8620</v>
      </c>
      <c r="I9" s="11" t="n">
        <f aca="false">B9+G9</f>
        <v>968620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5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18"/>
    <col collapsed="false" customWidth="true" hidden="false" outlineLevel="0" max="9" min="9" style="1" width="13"/>
    <col collapsed="false" customWidth="true" hidden="false" outlineLevel="0" max="10" min="10" style="1" width="15"/>
    <col collapsed="false" customWidth="true" hidden="false" outlineLevel="0" max="11" min="11" style="1" width="18"/>
    <col collapsed="false" customWidth="true" hidden="false" outlineLevel="0" max="12" min="12" style="1" width="16"/>
  </cols>
  <sheetData>
    <row r="1" customFormat="false" ht="26.25" hidden="false" customHeight="true" outlineLevel="0" collapsed="false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</row>
    <row r="2" customFormat="false" ht="15" hidden="false" customHeight="true" outlineLevel="0" collapsed="false">
      <c r="A2" s="13" t="n">
        <v>1</v>
      </c>
      <c r="B2" s="14" t="n">
        <v>5000</v>
      </c>
      <c r="C2" s="14" t="n">
        <v>0</v>
      </c>
      <c r="D2" s="14" t="n">
        <v>0</v>
      </c>
      <c r="E2" s="15" t="n">
        <v>0</v>
      </c>
      <c r="F2" s="14" t="n">
        <v>0</v>
      </c>
      <c r="G2" s="16" t="n">
        <f aca="false">B2+C2+D2+E2+F2</f>
        <v>5000</v>
      </c>
      <c r="H2" s="17" t="n">
        <f aca="false">G2</f>
        <v>5000</v>
      </c>
      <c r="I2" s="18" t="n">
        <f aca="false">MAX(1,INT(H2/8000)+1)</f>
        <v>1</v>
      </c>
      <c r="J2" s="18" t="n">
        <v>0</v>
      </c>
      <c r="K2" s="19" t="n">
        <f aca="false">G2/10000000</f>
        <v>0.0005</v>
      </c>
      <c r="L2" s="20" t="n">
        <v>0</v>
      </c>
    </row>
    <row r="3" customFormat="false" ht="15" hidden="false" customHeight="true" outlineLevel="0" collapsed="false">
      <c r="A3" s="13" t="n">
        <v>2</v>
      </c>
      <c r="B3" s="14" t="n">
        <f aca="false">B2*1.15</f>
        <v>5750</v>
      </c>
      <c r="C3" s="14" t="n">
        <v>0</v>
      </c>
      <c r="D3" s="14" t="n">
        <v>0</v>
      </c>
      <c r="E3" s="15" t="n">
        <v>0</v>
      </c>
      <c r="F3" s="14" t="n">
        <v>0</v>
      </c>
      <c r="G3" s="14" t="n">
        <f aca="false">B3+C3+D3+E3+F3</f>
        <v>5750</v>
      </c>
      <c r="H3" s="17" t="n">
        <f aca="false">H2+G3</f>
        <v>10750</v>
      </c>
      <c r="I3" s="18" t="n">
        <f aca="false">MAX(1,INT(H3/8000)+1)</f>
        <v>2</v>
      </c>
      <c r="J3" s="18" t="n">
        <v>0</v>
      </c>
      <c r="K3" s="19" t="n">
        <f aca="false">K2+G3/10000000</f>
        <v>0.001075</v>
      </c>
      <c r="L3" s="20" t="n">
        <f aca="false">(G3-G2)/G2</f>
        <v>0.15</v>
      </c>
    </row>
    <row r="4" customFormat="false" ht="15" hidden="false" customHeight="true" outlineLevel="0" collapsed="false">
      <c r="A4" s="13" t="n">
        <v>3</v>
      </c>
      <c r="B4" s="14" t="n">
        <f aca="false">B3*1.15</f>
        <v>6612.5</v>
      </c>
      <c r="C4" s="14" t="n">
        <f aca="false">IF(I3&gt;3,G3*0.3,0)</f>
        <v>0</v>
      </c>
      <c r="D4" s="14" t="n">
        <f aca="false">IF(I3&gt;1,B4*0.12,0)</f>
        <v>793.5</v>
      </c>
      <c r="E4" s="15" t="n">
        <v>0</v>
      </c>
      <c r="F4" s="14" t="n">
        <v>0</v>
      </c>
      <c r="G4" s="14" t="n">
        <f aca="false">B4+C4+D4+E4+F4</f>
        <v>7406</v>
      </c>
      <c r="H4" s="17" t="n">
        <f aca="false">H3+G4</f>
        <v>18156</v>
      </c>
      <c r="I4" s="18" t="n">
        <f aca="false">MAX(1,INT(H4/8000)+1)</f>
        <v>3</v>
      </c>
      <c r="J4" s="18" t="n">
        <v>0</v>
      </c>
      <c r="K4" s="19" t="n">
        <f aca="false">K3+G4/10000000</f>
        <v>0.0018156</v>
      </c>
      <c r="L4" s="20" t="n">
        <f aca="false">(G4-G3)/G3</f>
        <v>0.288</v>
      </c>
    </row>
    <row r="5" customFormat="false" ht="15" hidden="false" customHeight="true" outlineLevel="0" collapsed="false">
      <c r="A5" s="13" t="n">
        <v>4</v>
      </c>
      <c r="B5" s="14" t="n">
        <f aca="false">B4*1.15</f>
        <v>7604.375</v>
      </c>
      <c r="C5" s="14" t="n">
        <f aca="false">IF(I4&gt;3,G4*0.3,0)</f>
        <v>0</v>
      </c>
      <c r="D5" s="14" t="n">
        <f aca="false">IF(I4&gt;1,B5*0.12,0)</f>
        <v>912.525</v>
      </c>
      <c r="E5" s="15" t="n">
        <f aca="false">J4*2000</f>
        <v>0</v>
      </c>
      <c r="F5" s="14" t="n">
        <v>0</v>
      </c>
      <c r="G5" s="14" t="n">
        <f aca="false">B5+C5+D5+E5+F5</f>
        <v>8516.9</v>
      </c>
      <c r="H5" s="17" t="n">
        <f aca="false">H4+G5</f>
        <v>26672.9</v>
      </c>
      <c r="I5" s="18" t="n">
        <f aca="false">MAX(1,INT(H5/8000)+1)</f>
        <v>4</v>
      </c>
      <c r="J5" s="18" t="n">
        <v>1</v>
      </c>
      <c r="K5" s="19" t="n">
        <f aca="false">K4+G5/10000000</f>
        <v>0.00266729</v>
      </c>
      <c r="L5" s="20" t="n">
        <f aca="false">(G5-G4)/G4</f>
        <v>0.15</v>
      </c>
    </row>
    <row r="6" customFormat="false" ht="15" hidden="false" customHeight="true" outlineLevel="0" collapsed="false">
      <c r="A6" s="13" t="n">
        <v>5</v>
      </c>
      <c r="B6" s="14" t="n">
        <f aca="false">B5*1.15</f>
        <v>8745.03125</v>
      </c>
      <c r="C6" s="14" t="n">
        <f aca="false">IF(I5&gt;3,G5*0.3,0)</f>
        <v>2555.07</v>
      </c>
      <c r="D6" s="14" t="n">
        <f aca="false">IF(I5&gt;1,B6*0.12,0)</f>
        <v>1049.40375</v>
      </c>
      <c r="E6" s="15" t="n">
        <f aca="false">J5*2000</f>
        <v>2000</v>
      </c>
      <c r="F6" s="14" t="n">
        <v>0</v>
      </c>
      <c r="G6" s="14" t="n">
        <f aca="false">B6+C6+D6+E6+F6</f>
        <v>14349.505</v>
      </c>
      <c r="H6" s="17" t="n">
        <f aca="false">H5+G6</f>
        <v>41022.405</v>
      </c>
      <c r="I6" s="18" t="n">
        <f aca="false">MAX(1,INT(H6/8000)+1)</f>
        <v>6</v>
      </c>
      <c r="J6" s="18" t="n">
        <f aca="false">IF(H6&gt;150000,INT(H6/150000),IF(H6&gt;75000,1,0))</f>
        <v>0</v>
      </c>
      <c r="K6" s="19" t="n">
        <f aca="false">K5+G6/10000000</f>
        <v>0.0041022405</v>
      </c>
      <c r="L6" s="20" t="n">
        <f aca="false">(G6-G5)/G5</f>
        <v>0.684827225868567</v>
      </c>
    </row>
    <row r="7" customFormat="false" ht="15" hidden="false" customHeight="true" outlineLevel="0" collapsed="false">
      <c r="A7" s="13" t="n">
        <v>6</v>
      </c>
      <c r="B7" s="14" t="n">
        <f aca="false">B6*1.15</f>
        <v>10056.7859375</v>
      </c>
      <c r="C7" s="14" t="n">
        <f aca="false">IF(I6&gt;3,G6*0.3,0)</f>
        <v>4304.8515</v>
      </c>
      <c r="D7" s="14" t="n">
        <f aca="false">IF(I6&gt;1,B7*0.12,0)</f>
        <v>1206.8143125</v>
      </c>
      <c r="E7" s="15" t="n">
        <f aca="false">J6*2000</f>
        <v>0</v>
      </c>
      <c r="F7" s="14" t="n">
        <v>0</v>
      </c>
      <c r="G7" s="14" t="n">
        <f aca="false">B7+C7+D7+E7+F7</f>
        <v>15568.45175</v>
      </c>
      <c r="H7" s="17" t="n">
        <f aca="false">H6+G7</f>
        <v>56590.85675</v>
      </c>
      <c r="I7" s="18" t="n">
        <f aca="false">MAX(1,INT(H7/8000)+1)</f>
        <v>8</v>
      </c>
      <c r="J7" s="18" t="n">
        <f aca="false">IF(H7&gt;150000,INT(H7/150000),IF(H7&gt;75000,1,0))</f>
        <v>0</v>
      </c>
      <c r="K7" s="19" t="n">
        <f aca="false">K6+G7/10000000</f>
        <v>0.005659085675</v>
      </c>
      <c r="L7" s="20" t="n">
        <f aca="false">(G7-G6)/G6</f>
        <v>0.0849469546162044</v>
      </c>
    </row>
    <row r="8" customFormat="false" ht="15" hidden="false" customHeight="true" outlineLevel="0" collapsed="false">
      <c r="A8" s="13" t="n">
        <v>7</v>
      </c>
      <c r="B8" s="14" t="n">
        <f aca="false">B7*1.15</f>
        <v>11565.303828125</v>
      </c>
      <c r="C8" s="14" t="n">
        <f aca="false">IF(I7&gt;3,G7*0.3,0)</f>
        <v>4670.535525</v>
      </c>
      <c r="D8" s="14" t="n">
        <f aca="false">IF(I7&gt;1,B8*0.12,0)</f>
        <v>1387.836459375</v>
      </c>
      <c r="E8" s="15" t="n">
        <f aca="false">J7*2000</f>
        <v>0</v>
      </c>
      <c r="F8" s="14" t="n">
        <f aca="false">B8*0.02*1</f>
        <v>231.3060765625</v>
      </c>
      <c r="G8" s="14" t="n">
        <f aca="false">B8+C8+D8+E8+F8</f>
        <v>17854.9818890625</v>
      </c>
      <c r="H8" s="17" t="n">
        <f aca="false">H7+G8</f>
        <v>74445.8386390625</v>
      </c>
      <c r="I8" s="18" t="n">
        <f aca="false">MAX(1,INT(H8/8000)+1)</f>
        <v>10</v>
      </c>
      <c r="J8" s="18" t="n">
        <f aca="false">IF(H8&gt;150000,INT(H8/150000),IF(H8&gt;75000,1,0))</f>
        <v>0</v>
      </c>
      <c r="K8" s="19" t="n">
        <f aca="false">K7+G8/10000000</f>
        <v>0.00744458386390625</v>
      </c>
      <c r="L8" s="20" t="n">
        <f aca="false">(G8-G7)/G7</f>
        <v>0.146869462408971</v>
      </c>
    </row>
    <row r="9" customFormat="false" ht="15" hidden="false" customHeight="true" outlineLevel="0" collapsed="false">
      <c r="A9" s="13" t="n">
        <v>8</v>
      </c>
      <c r="B9" s="14" t="n">
        <f aca="false">B8*1.15</f>
        <v>13300.0994023437</v>
      </c>
      <c r="C9" s="14" t="n">
        <f aca="false">IF(I8&gt;3,G8*0.3,0)</f>
        <v>5356.49456671875</v>
      </c>
      <c r="D9" s="14" t="n">
        <f aca="false">IF(I8&gt;1,B9*0.12,0)</f>
        <v>1596.01192828125</v>
      </c>
      <c r="E9" s="15" t="n">
        <f aca="false">J8*2000</f>
        <v>0</v>
      </c>
      <c r="F9" s="14" t="n">
        <f aca="false">B9*0.02*1</f>
        <v>266.001988046875</v>
      </c>
      <c r="G9" s="14" t="n">
        <f aca="false">B9+C9+D9+E9+F9</f>
        <v>20518.6078853906</v>
      </c>
      <c r="H9" s="17" t="n">
        <f aca="false">H8+G9</f>
        <v>94964.4465244531</v>
      </c>
      <c r="I9" s="18" t="n">
        <f aca="false">MAX(1,INT(H9/8000)+1)</f>
        <v>12</v>
      </c>
      <c r="J9" s="18" t="n">
        <f aca="false">IF(H9&gt;150000,INT(H9/150000),IF(H9&gt;75000,1,0))</f>
        <v>1</v>
      </c>
      <c r="K9" s="19" t="n">
        <f aca="false">K8+G9/10000000</f>
        <v>0.00949644465244531</v>
      </c>
      <c r="L9" s="20" t="n">
        <f aca="false">(G9-G8)/G8</f>
        <v>0.14918110882878</v>
      </c>
    </row>
    <row r="10" customFormat="false" ht="15" hidden="false" customHeight="true" outlineLevel="0" collapsed="false">
      <c r="A10" s="13" t="n">
        <v>9</v>
      </c>
      <c r="B10" s="14" t="n">
        <f aca="false">B9*1.15</f>
        <v>15295.1143126953</v>
      </c>
      <c r="C10" s="14" t="n">
        <f aca="false">IF(I9&gt;3,G9*0.3,0)</f>
        <v>6155.58236561718</v>
      </c>
      <c r="D10" s="14" t="n">
        <f aca="false">IF(I9&gt;1,B10*0.12,0)</f>
        <v>1835.41371752344</v>
      </c>
      <c r="E10" s="15" t="n">
        <f aca="false">J9*2000</f>
        <v>2000</v>
      </c>
      <c r="F10" s="14" t="n">
        <f aca="false">B10*0.02*2</f>
        <v>611.804572507812</v>
      </c>
      <c r="G10" s="14" t="n">
        <f aca="false">B10+C10+D10+E10+F10</f>
        <v>25897.9149683437</v>
      </c>
      <c r="H10" s="17" t="n">
        <f aca="false">H9+G10</f>
        <v>120862.361492797</v>
      </c>
      <c r="I10" s="18" t="n">
        <f aca="false">MAX(1,INT(H10/8000)+1)</f>
        <v>16</v>
      </c>
      <c r="J10" s="18" t="n">
        <f aca="false">IF(H10&gt;150000,INT(H10/150000),IF(H10&gt;75000,1,0))</f>
        <v>1</v>
      </c>
      <c r="K10" s="19" t="n">
        <f aca="false">K9+G10/10000000</f>
        <v>0.0120862361492797</v>
      </c>
      <c r="L10" s="20" t="n">
        <f aca="false">(G10-G9)/G9</f>
        <v>0.262167253889735</v>
      </c>
    </row>
    <row r="11" customFormat="false" ht="15" hidden="false" customHeight="true" outlineLevel="0" collapsed="false">
      <c r="A11" s="13" t="n">
        <v>10</v>
      </c>
      <c r="B11" s="14" t="n">
        <f aca="false">B10*1.15</f>
        <v>17589.3814595996</v>
      </c>
      <c r="C11" s="14" t="n">
        <f aca="false">IF(I10&gt;3,G10*0.3,0)</f>
        <v>7769.37449050312</v>
      </c>
      <c r="D11" s="14" t="n">
        <f aca="false">IF(I10&gt;1,B11*0.12,0)</f>
        <v>2110.72577515195</v>
      </c>
      <c r="E11" s="15" t="n">
        <f aca="false">J10*2000</f>
        <v>2000</v>
      </c>
      <c r="F11" s="14" t="n">
        <f aca="false">B11*0.02*2</f>
        <v>703.575258383984</v>
      </c>
      <c r="G11" s="14" t="n">
        <f aca="false">B11+C11+D11+E11+F11</f>
        <v>30173.0569836386</v>
      </c>
      <c r="H11" s="17" t="n">
        <f aca="false">H10+G11</f>
        <v>151035.418476435</v>
      </c>
      <c r="I11" s="18" t="n">
        <f aca="false">MAX(1,INT(H11/8000)+1)</f>
        <v>19</v>
      </c>
      <c r="J11" s="18" t="n">
        <f aca="false">IF(H11&gt;150000,INT(H11/150000),IF(H11&gt;75000,1,0))</f>
        <v>1</v>
      </c>
      <c r="K11" s="19" t="n">
        <f aca="false">K10+G11/10000000</f>
        <v>0.0151035418476435</v>
      </c>
      <c r="L11" s="20" t="n">
        <f aca="false">(G11-G10)/G10</f>
        <v>0.165076687467722</v>
      </c>
    </row>
    <row r="12" customFormat="false" ht="15" hidden="false" customHeight="true" outlineLevel="0" collapsed="false">
      <c r="A12" s="13" t="n">
        <v>11</v>
      </c>
      <c r="B12" s="14" t="n">
        <f aca="false">B11*1.15</f>
        <v>20227.7886785395</v>
      </c>
      <c r="C12" s="14" t="n">
        <f aca="false">IF(I11&gt;3,G11*0.3,0)</f>
        <v>9051.91709509159</v>
      </c>
      <c r="D12" s="14" t="n">
        <f aca="false">IF(I11&gt;1,B12*0.12,0)</f>
        <v>2427.33464142474</v>
      </c>
      <c r="E12" s="15" t="n">
        <f aca="false">J11*2000</f>
        <v>2000</v>
      </c>
      <c r="F12" s="14" t="n">
        <f aca="false">B12*0.02*2</f>
        <v>809.111547141581</v>
      </c>
      <c r="G12" s="14" t="n">
        <f aca="false">B12+C12+D12+E12+F12</f>
        <v>34516.1519621975</v>
      </c>
      <c r="H12" s="17" t="n">
        <f aca="false">H11+G12</f>
        <v>185551.570438633</v>
      </c>
      <c r="I12" s="18" t="n">
        <f aca="false">MAX(1,INT(H12/8000)+1)</f>
        <v>24</v>
      </c>
      <c r="J12" s="18" t="n">
        <f aca="false">IF(H12&gt;150000,INT(H12/150000),IF(H12&gt;75000,1,0))</f>
        <v>1</v>
      </c>
      <c r="K12" s="19" t="n">
        <f aca="false">K11+G12/10000000</f>
        <v>0.0185551570438633</v>
      </c>
      <c r="L12" s="20" t="n">
        <f aca="false">(G12-G11)/G11</f>
        <v>0.143939508048981</v>
      </c>
    </row>
    <row r="13" customFormat="false" ht="15" hidden="false" customHeight="true" outlineLevel="0" collapsed="false">
      <c r="A13" s="13" t="n">
        <v>12</v>
      </c>
      <c r="B13" s="14" t="n">
        <f aca="false">B12*1.15</f>
        <v>23261.9569803205</v>
      </c>
      <c r="C13" s="14" t="n">
        <f aca="false">IF(I12&gt;3,G12*0.3,0)</f>
        <v>10354.8455886592</v>
      </c>
      <c r="D13" s="14" t="n">
        <f aca="false">IF(I12&gt;1,B13*0.12,0)</f>
        <v>2791.43483763845</v>
      </c>
      <c r="E13" s="15" t="n">
        <f aca="false">J12*2000</f>
        <v>2000</v>
      </c>
      <c r="F13" s="14" t="n">
        <f aca="false">B13*0.02*3</f>
        <v>1395.71741881923</v>
      </c>
      <c r="G13" s="14" t="n">
        <f aca="false">B13+C13+D13+E13+F13</f>
        <v>39803.9548254374</v>
      </c>
      <c r="H13" s="17" t="n">
        <f aca="false">H12+G13</f>
        <v>225355.52526407</v>
      </c>
      <c r="I13" s="18" t="n">
        <f aca="false">MAX(1,INT(H13/8000)+1)</f>
        <v>29</v>
      </c>
      <c r="J13" s="18" t="n">
        <f aca="false">IF(H13&gt;150000,INT(H13/150000),IF(H13&gt;75000,1,0))</f>
        <v>1</v>
      </c>
      <c r="K13" s="19" t="n">
        <f aca="false">K12+G13/10000000</f>
        <v>0.022535552526407</v>
      </c>
      <c r="L13" s="20" t="n">
        <f aca="false">(G13-G12)/G12</f>
        <v>0.153197925105649</v>
      </c>
    </row>
    <row r="14" customFormat="false" ht="15" hidden="false" customHeight="true" outlineLevel="0" collapsed="false">
      <c r="A14" s="13" t="n">
        <v>13</v>
      </c>
      <c r="B14" s="14" t="n">
        <f aca="false">B13*1.1</f>
        <v>25588.1526783525</v>
      </c>
      <c r="C14" s="14" t="n">
        <f aca="false">IF(I13&gt;3,G13*0.3,0)</f>
        <v>11941.1864476312</v>
      </c>
      <c r="D14" s="14" t="n">
        <f aca="false">IF(I13&gt;1,B14*0.12,0)</f>
        <v>3070.5783214023</v>
      </c>
      <c r="E14" s="15" t="n">
        <f aca="false">J13*2000</f>
        <v>2000</v>
      </c>
      <c r="F14" s="14" t="n">
        <f aca="false">B14*0.02*3</f>
        <v>1535.28916070115</v>
      </c>
      <c r="G14" s="14" t="n">
        <f aca="false">B14+C14+D14+E14+F14</f>
        <v>44135.2066080872</v>
      </c>
      <c r="H14" s="17" t="n">
        <f aca="false">H13+G14</f>
        <v>269490.731872157</v>
      </c>
      <c r="I14" s="18" t="n">
        <f aca="false">MAX(1,INT(H14/8000)+1)</f>
        <v>34</v>
      </c>
      <c r="J14" s="18" t="n">
        <f aca="false">IF(H14&gt;150000,INT(H14/150000),IF(H14&gt;75000,1,0))</f>
        <v>1</v>
      </c>
      <c r="K14" s="19" t="n">
        <f aca="false">K13+G14/10000000</f>
        <v>0.0269490731872157</v>
      </c>
      <c r="L14" s="20" t="n">
        <f aca="false">(G14-G13)/G13</f>
        <v>0.108814609041859</v>
      </c>
    </row>
    <row r="15" customFormat="false" ht="15" hidden="false" customHeight="true" outlineLevel="0" collapsed="false">
      <c r="A15" s="13" t="n">
        <v>14</v>
      </c>
      <c r="B15" s="14" t="n">
        <f aca="false">B14*1.1</f>
        <v>28146.9679461878</v>
      </c>
      <c r="C15" s="14" t="n">
        <f aca="false">IF(I14&gt;3,G14*0.3,0)</f>
        <v>13240.5619824262</v>
      </c>
      <c r="D15" s="14" t="n">
        <f aca="false">IF(I14&gt;1,B15*0.12,0)</f>
        <v>3377.63615354253</v>
      </c>
      <c r="E15" s="15" t="n">
        <f aca="false">J14*2000</f>
        <v>2000</v>
      </c>
      <c r="F15" s="14" t="n">
        <f aca="false">B15*0.02*3</f>
        <v>1688.81807677127</v>
      </c>
      <c r="G15" s="14" t="n">
        <f aca="false">B15+C15+D15+E15+F15</f>
        <v>48453.9841589277</v>
      </c>
      <c r="H15" s="17" t="n">
        <f aca="false">H14+G15</f>
        <v>317944.716031085</v>
      </c>
      <c r="I15" s="18" t="n">
        <f aca="false">MAX(1,INT(H15/8000)+1)</f>
        <v>40</v>
      </c>
      <c r="J15" s="18" t="n">
        <f aca="false">IF(H15&gt;150000,INT(H15/150000),IF(H15&gt;75000,1,0))</f>
        <v>2</v>
      </c>
      <c r="K15" s="19" t="n">
        <f aca="false">K14+G15/10000000</f>
        <v>0.0317944716031085</v>
      </c>
      <c r="L15" s="20" t="n">
        <f aca="false">(G15-G14)/G14</f>
        <v>0.0978533439118234</v>
      </c>
    </row>
    <row r="16" customFormat="false" ht="15" hidden="false" customHeight="true" outlineLevel="0" collapsed="false">
      <c r="A16" s="13" t="n">
        <v>15</v>
      </c>
      <c r="B16" s="14" t="n">
        <f aca="false">B15*1.1</f>
        <v>30961.6647408065</v>
      </c>
      <c r="C16" s="14" t="n">
        <f aca="false">IF(I15&gt;3,G15*0.3,0)</f>
        <v>14536.1952476783</v>
      </c>
      <c r="D16" s="14" t="n">
        <f aca="false">IF(I15&gt;1,B16*0.12,0)</f>
        <v>3715.39976889678</v>
      </c>
      <c r="E16" s="15" t="n">
        <f aca="false">J15*2000</f>
        <v>4000</v>
      </c>
      <c r="F16" s="14" t="n">
        <f aca="false">B16*0.02*4</f>
        <v>2476.93317926452</v>
      </c>
      <c r="G16" s="14" t="n">
        <f aca="false">B16+C16+D16+E16+F16</f>
        <v>55690.1929366462</v>
      </c>
      <c r="H16" s="17" t="n">
        <f aca="false">H15+G16</f>
        <v>373634.908967731</v>
      </c>
      <c r="I16" s="18" t="n">
        <f aca="false">MAX(1,INT(H16/8000)+1)</f>
        <v>47</v>
      </c>
      <c r="J16" s="18" t="n">
        <f aca="false">IF(H16&gt;150000,INT(H16/150000),IF(H16&gt;75000,1,0))</f>
        <v>2</v>
      </c>
      <c r="K16" s="19" t="n">
        <f aca="false">K15+G16/10000000</f>
        <v>0.0373634908967731</v>
      </c>
      <c r="L16" s="20" t="n">
        <f aca="false">(G16-G15)/G15</f>
        <v>0.149341873600815</v>
      </c>
    </row>
    <row r="17" customFormat="false" ht="15" hidden="false" customHeight="true" outlineLevel="0" collapsed="false">
      <c r="A17" s="13" t="n">
        <v>16</v>
      </c>
      <c r="B17" s="14" t="n">
        <f aca="false">B16*1.1</f>
        <v>34057.8312148872</v>
      </c>
      <c r="C17" s="14" t="n">
        <f aca="false">IF(I16&gt;3,G16*0.3,0)</f>
        <v>16707.0578809938</v>
      </c>
      <c r="D17" s="14" t="n">
        <f aca="false">IF(I16&gt;1,B17*0.12,0)</f>
        <v>4086.93974578646</v>
      </c>
      <c r="E17" s="15" t="n">
        <f aca="false">J16*2000</f>
        <v>4000</v>
      </c>
      <c r="F17" s="14" t="n">
        <f aca="false">B17*0.02*4</f>
        <v>2724.62649719098</v>
      </c>
      <c r="G17" s="14" t="n">
        <f aca="false">B17+C17+D17+E17+F17</f>
        <v>61576.4553388585</v>
      </c>
      <c r="H17" s="17" t="n">
        <f aca="false">H16+G17</f>
        <v>435211.36430659</v>
      </c>
      <c r="I17" s="18" t="n">
        <f aca="false">MAX(1,INT(H17/8000)+1)</f>
        <v>55</v>
      </c>
      <c r="J17" s="18" t="n">
        <f aca="false">IF(H17&gt;150000,INT(H17/150000),IF(H17&gt;75000,1,0))</f>
        <v>2</v>
      </c>
      <c r="K17" s="19" t="n">
        <f aca="false">K16+G17/10000000</f>
        <v>0.043521136430659</v>
      </c>
      <c r="L17" s="20" t="n">
        <f aca="false">(G17-G16)/G16</f>
        <v>0.105696570469932</v>
      </c>
    </row>
    <row r="18" customFormat="false" ht="15" hidden="false" customHeight="true" outlineLevel="0" collapsed="false">
      <c r="A18" s="13" t="n">
        <v>17</v>
      </c>
      <c r="B18" s="14" t="n">
        <f aca="false">B17*1.1</f>
        <v>37463.6143363759</v>
      </c>
      <c r="C18" s="14" t="n">
        <f aca="false">IF(I17&gt;3,G17*0.3,0)</f>
        <v>18472.9366016575</v>
      </c>
      <c r="D18" s="14" t="n">
        <f aca="false">IF(I17&gt;1,B18*0.12,0)</f>
        <v>4495.63372036511</v>
      </c>
      <c r="E18" s="15" t="n">
        <f aca="false">J17*2000</f>
        <v>4000</v>
      </c>
      <c r="F18" s="14" t="n">
        <f aca="false">B18*0.02*4</f>
        <v>2997.08914691007</v>
      </c>
      <c r="G18" s="14" t="n">
        <f aca="false">B18+C18+D18+E18+F18</f>
        <v>67429.2738053086</v>
      </c>
      <c r="H18" s="17" t="n">
        <f aca="false">H17+G18</f>
        <v>502640.638111898</v>
      </c>
      <c r="I18" s="18" t="n">
        <f aca="false">MAX(1,INT(H18/8000)+1)</f>
        <v>63</v>
      </c>
      <c r="J18" s="18" t="n">
        <f aca="false">IF(H18&gt;150000,INT(H18/150000),IF(H18&gt;75000,1,0))</f>
        <v>3</v>
      </c>
      <c r="K18" s="19" t="n">
        <f aca="false">K17+G18/10000000</f>
        <v>0.0502640638111899</v>
      </c>
      <c r="L18" s="20" t="n">
        <f aca="false">(G18-G17)/G17</f>
        <v>0.0950496165172515</v>
      </c>
    </row>
    <row r="19" customFormat="false" ht="15" hidden="false" customHeight="true" outlineLevel="0" collapsed="false">
      <c r="A19" s="13" t="n">
        <v>18</v>
      </c>
      <c r="B19" s="14" t="n">
        <f aca="false">B18*1.1</f>
        <v>41209.9757700135</v>
      </c>
      <c r="C19" s="14" t="n">
        <f aca="false">IF(I18&gt;3,G18*0.3,0)</f>
        <v>20228.7821415926</v>
      </c>
      <c r="D19" s="14" t="n">
        <f aca="false">IF(I18&gt;1,B19*0.12,0)</f>
        <v>4945.19709240162</v>
      </c>
      <c r="E19" s="15" t="n">
        <f aca="false">J18*2000</f>
        <v>6000</v>
      </c>
      <c r="F19" s="14" t="n">
        <f aca="false">B19*0.02*5</f>
        <v>4120.99757700135</v>
      </c>
      <c r="G19" s="14" t="n">
        <f aca="false">B19+C19+D19+E19+F19</f>
        <v>76504.9525810091</v>
      </c>
      <c r="H19" s="17" t="n">
        <f aca="false">H18+G19</f>
        <v>579145.590692908</v>
      </c>
      <c r="I19" s="18" t="n">
        <f aca="false">MAX(1,INT(H19/8000)+1)</f>
        <v>73</v>
      </c>
      <c r="J19" s="18" t="n">
        <f aca="false">IF(H19&gt;150000,INT(H19/150000),IF(H19&gt;75000,1,0))</f>
        <v>3</v>
      </c>
      <c r="K19" s="19" t="n">
        <f aca="false">K18+G19/10000000</f>
        <v>0.0579145590692908</v>
      </c>
      <c r="L19" s="20" t="n">
        <f aca="false">(G19-G18)/G18</f>
        <v>0.134595528967211</v>
      </c>
    </row>
    <row r="20" customFormat="false" ht="15" hidden="false" customHeight="true" outlineLevel="0" collapsed="false">
      <c r="A20" s="13" t="n">
        <v>19</v>
      </c>
      <c r="B20" s="14" t="n">
        <f aca="false">B19*1.1</f>
        <v>45330.9733470149</v>
      </c>
      <c r="C20" s="14" t="n">
        <f aca="false">IF(I19&gt;3,G19*0.3,0)</f>
        <v>22951.4857743027</v>
      </c>
      <c r="D20" s="14" t="n">
        <f aca="false">IF(I19&gt;1,B20*0.12,0)</f>
        <v>5439.71680164178</v>
      </c>
      <c r="E20" s="15" t="n">
        <f aca="false">J19*2000</f>
        <v>6000</v>
      </c>
      <c r="F20" s="14" t="n">
        <f aca="false">B20*0.02*5</f>
        <v>4533.09733470149</v>
      </c>
      <c r="G20" s="14" t="n">
        <f aca="false">B20+C20+D20+E20+F20</f>
        <v>84255.2732576609</v>
      </c>
      <c r="H20" s="17" t="n">
        <f aca="false">H19+G20</f>
        <v>663400.863950568</v>
      </c>
      <c r="I20" s="18" t="n">
        <f aca="false">MAX(1,INT(H20/8000)+1)</f>
        <v>83</v>
      </c>
      <c r="J20" s="18" t="n">
        <f aca="false">IF(H20&gt;150000,INT(H20/150000),IF(H20&gt;75000,1,0))</f>
        <v>4</v>
      </c>
      <c r="K20" s="19" t="n">
        <f aca="false">K19+G20/10000000</f>
        <v>0.0663400863950568</v>
      </c>
      <c r="L20" s="20" t="n">
        <f aca="false">(G20-G19)/G19</f>
        <v>0.101304822958294</v>
      </c>
    </row>
    <row r="21" customFormat="false" ht="15" hidden="false" customHeight="true" outlineLevel="0" collapsed="false">
      <c r="A21" s="13" t="n">
        <v>20</v>
      </c>
      <c r="B21" s="14" t="n">
        <f aca="false">B20*1.1</f>
        <v>49864.0706817164</v>
      </c>
      <c r="C21" s="14" t="n">
        <f aca="false">IF(I20&gt;3,G20*0.3,0)</f>
        <v>25276.5819772983</v>
      </c>
      <c r="D21" s="14" t="n">
        <f aca="false">IF(I20&gt;1,B21*0.12,0)</f>
        <v>5983.68848180596</v>
      </c>
      <c r="E21" s="15" t="n">
        <f aca="false">J20*2000</f>
        <v>8000</v>
      </c>
      <c r="F21" s="14" t="n">
        <f aca="false">B21*0.02*5</f>
        <v>4986.40706817164</v>
      </c>
      <c r="G21" s="14" t="n">
        <f aca="false">B21+C21+D21+E21+F21</f>
        <v>94110.7482089922</v>
      </c>
      <c r="H21" s="17" t="n">
        <f aca="false">H20+G21</f>
        <v>757511.61215956</v>
      </c>
      <c r="I21" s="18" t="n">
        <f aca="false">MAX(1,INT(H21/8000)+1)</f>
        <v>95</v>
      </c>
      <c r="J21" s="18" t="n">
        <f aca="false">IF(H21&gt;150000,INT(H21/150000),IF(H21&gt;75000,1,0))</f>
        <v>5</v>
      </c>
      <c r="K21" s="19" t="n">
        <f aca="false">K20+G21/10000000</f>
        <v>0.0757511612159561</v>
      </c>
      <c r="L21" s="20" t="n">
        <f aca="false">(G21-G20)/G20</f>
        <v>0.116971609850369</v>
      </c>
    </row>
    <row r="22" customFormat="false" ht="15" hidden="false" customHeight="true" outlineLevel="0" collapsed="false">
      <c r="A22" s="13" t="n">
        <v>21</v>
      </c>
      <c r="B22" s="14" t="n">
        <f aca="false">B21*1.1</f>
        <v>54850.477749888</v>
      </c>
      <c r="C22" s="14" t="n">
        <f aca="false">IF(I21&gt;3,G21*0.3,0)</f>
        <v>28233.2244626977</v>
      </c>
      <c r="D22" s="14" t="n">
        <f aca="false">IF(I21&gt;1,B22*0.12,0)</f>
        <v>6582.05732998656</v>
      </c>
      <c r="E22" s="15" t="n">
        <f aca="false">J21*2000</f>
        <v>10000</v>
      </c>
      <c r="F22" s="14" t="n">
        <f aca="false">B22*0.02*6</f>
        <v>6582.05732998656</v>
      </c>
      <c r="G22" s="14" t="n">
        <f aca="false">B22+C22+D22+E22+F22</f>
        <v>106247.816872559</v>
      </c>
      <c r="H22" s="17" t="n">
        <f aca="false">H21+G22</f>
        <v>863759.429032119</v>
      </c>
      <c r="I22" s="18" t="n">
        <f aca="false">MAX(1,INT(H22/8000)+1)</f>
        <v>108</v>
      </c>
      <c r="J22" s="18" t="n">
        <f aca="false">IF(H22&gt;150000,INT(H22/150000),IF(H22&gt;75000,1,0))</f>
        <v>5</v>
      </c>
      <c r="K22" s="19" t="n">
        <f aca="false">K21+G22/10000000</f>
        <v>0.086375942903212</v>
      </c>
      <c r="L22" s="20" t="n">
        <f aca="false">(G22-G21)/G21</f>
        <v>0.128965807780146</v>
      </c>
    </row>
    <row r="23" customFormat="false" ht="15" hidden="false" customHeight="true" outlineLevel="0" collapsed="false">
      <c r="A23" s="13" t="n">
        <v>22</v>
      </c>
      <c r="B23" s="14" t="n">
        <f aca="false">B22*1.1</f>
        <v>60335.5255248768</v>
      </c>
      <c r="C23" s="14" t="n">
        <f aca="false">IF(I22&gt;3,G22*0.3,0)</f>
        <v>31874.3450617676</v>
      </c>
      <c r="D23" s="14" t="n">
        <f aca="false">IF(I22&gt;1,B23*0.12,0)</f>
        <v>7240.26306298522</v>
      </c>
      <c r="E23" s="15" t="n">
        <f aca="false">J22*2000</f>
        <v>10000</v>
      </c>
      <c r="F23" s="14" t="n">
        <f aca="false">B23*0.02*6</f>
        <v>7240.26306298522</v>
      </c>
      <c r="G23" s="14" t="n">
        <f aca="false">B23+C23+D23+E23+F23</f>
        <v>116690.396712615</v>
      </c>
      <c r="H23" s="17" t="n">
        <f aca="false">H22+G23</f>
        <v>980449.825744734</v>
      </c>
      <c r="I23" s="18" t="n">
        <f aca="false">MAX(1,INT(H23/8000)+1)</f>
        <v>123</v>
      </c>
      <c r="J23" s="18" t="n">
        <f aca="false">IF(H23&gt;150000,INT(H23/150000),IF(H23&gt;75000,1,0))</f>
        <v>6</v>
      </c>
      <c r="K23" s="19" t="n">
        <f aca="false">K22+G23/10000000</f>
        <v>0.0980449825744734</v>
      </c>
      <c r="L23" s="20" t="n">
        <f aca="false">(G23-G22)/G22</f>
        <v>0.0982851238494778</v>
      </c>
    </row>
    <row r="24" customFormat="false" ht="15" hidden="false" customHeight="true" outlineLevel="0" collapsed="false">
      <c r="A24" s="13" t="n">
        <v>23</v>
      </c>
      <c r="B24" s="14" t="n">
        <f aca="false">B23*1.1</f>
        <v>66369.0780773645</v>
      </c>
      <c r="C24" s="14" t="n">
        <f aca="false">IF(I23&gt;3,G23*0.3,0)</f>
        <v>35007.1190137845</v>
      </c>
      <c r="D24" s="14" t="n">
        <f aca="false">IF(I23&gt;1,B24*0.12,0)</f>
        <v>7964.28936928374</v>
      </c>
      <c r="E24" s="15" t="n">
        <f aca="false">J23*2000</f>
        <v>12000</v>
      </c>
      <c r="F24" s="14" t="n">
        <f aca="false">B24*0.02*6</f>
        <v>7964.28936928374</v>
      </c>
      <c r="G24" s="14" t="n">
        <f aca="false">B24+C24+D24+E24+F24</f>
        <v>129304.775829716</v>
      </c>
      <c r="H24" s="17" t="n">
        <f aca="false">H23+G24</f>
        <v>1109754.60157445</v>
      </c>
      <c r="I24" s="18" t="n">
        <f aca="false">MAX(1,INT(H24/8000)+1)</f>
        <v>139</v>
      </c>
      <c r="J24" s="18" t="n">
        <f aca="false">IF(H24&gt;150000,INT(H24/150000),IF(H24&gt;75000,1,0))</f>
        <v>7</v>
      </c>
      <c r="K24" s="19" t="n">
        <f aca="false">K23+G24/10000000</f>
        <v>0.110975460157445</v>
      </c>
      <c r="L24" s="20" t="n">
        <f aca="false">(G24-G23)/G23</f>
        <v>0.108101261735944</v>
      </c>
    </row>
    <row r="25" customFormat="false" ht="15" hidden="false" customHeight="true" outlineLevel="0" collapsed="false">
      <c r="A25" s="13" t="n">
        <v>24</v>
      </c>
      <c r="B25" s="14" t="n">
        <f aca="false">B24*1.1</f>
        <v>73005.9858851009</v>
      </c>
      <c r="C25" s="14" t="n">
        <f aca="false">IF(I24&gt;3,G24*0.3,0)</f>
        <v>38791.4327489149</v>
      </c>
      <c r="D25" s="14" t="n">
        <f aca="false">IF(I24&gt;1,B25*0.12,0)</f>
        <v>8760.71830621211</v>
      </c>
      <c r="E25" s="15" t="n">
        <f aca="false">J24*2000</f>
        <v>14000</v>
      </c>
      <c r="F25" s="14" t="n">
        <f aca="false">B25*0.02*7</f>
        <v>10220.8380239141</v>
      </c>
      <c r="G25" s="14" t="n">
        <f aca="false">B25+C25+D25+E25+F25</f>
        <v>144778.974964142</v>
      </c>
      <c r="H25" s="17" t="n">
        <f aca="false">H24+G25</f>
        <v>1254533.57653859</v>
      </c>
      <c r="I25" s="18" t="n">
        <f aca="false">MAX(1,INT(H25/8000)+1)</f>
        <v>157</v>
      </c>
      <c r="J25" s="18" t="n">
        <f aca="false">IF(H25&gt;150000,INT(H25/150000),IF(H25&gt;75000,1,0))</f>
        <v>8</v>
      </c>
      <c r="K25" s="19" t="n">
        <f aca="false">K24+G25/10000000</f>
        <v>0.125453357653859</v>
      </c>
      <c r="L25" s="20" t="n">
        <f aca="false">(G25-G24)/G24</f>
        <v>0.119672293889623</v>
      </c>
    </row>
    <row r="26" customFormat="false" ht="15" hidden="false" customHeight="true" outlineLevel="0" collapsed="false">
      <c r="A26" s="13" t="n">
        <v>25</v>
      </c>
      <c r="B26" s="14" t="n">
        <f aca="false">B25*1.08</f>
        <v>78846.464755909</v>
      </c>
      <c r="C26" s="14" t="n">
        <f aca="false">IF(I25&gt;3,G25*0.3,0)</f>
        <v>43433.6924892426</v>
      </c>
      <c r="D26" s="14" t="n">
        <f aca="false">IF(I25&gt;1,B26*0.12,0)</f>
        <v>9461.57577070908</v>
      </c>
      <c r="E26" s="15" t="n">
        <f aca="false">J25*2000</f>
        <v>16000</v>
      </c>
      <c r="F26" s="14" t="n">
        <f aca="false">B26*0.02*7</f>
        <v>11038.5050658273</v>
      </c>
      <c r="G26" s="14" t="n">
        <f aca="false">B26+C26+D26+E26+F26</f>
        <v>158780.238081688</v>
      </c>
      <c r="H26" s="17" t="n">
        <f aca="false">H25+G26</f>
        <v>1413313.81462028</v>
      </c>
      <c r="I26" s="18" t="n">
        <f aca="false">MAX(1,INT(H26/8000)+1)</f>
        <v>177</v>
      </c>
      <c r="J26" s="18" t="n">
        <f aca="false">IF(H26&gt;150000,INT(H26/150000),IF(H26&gt;75000,1,0))</f>
        <v>9</v>
      </c>
      <c r="K26" s="19" t="n">
        <f aca="false">K25+G26/10000000</f>
        <v>0.141331381462028</v>
      </c>
      <c r="L26" s="20" t="n">
        <f aca="false">(G26-G25)/G25</f>
        <v>0.0967078480906057</v>
      </c>
    </row>
    <row r="27" customFormat="false" ht="15" hidden="false" customHeight="true" outlineLevel="0" collapsed="false">
      <c r="A27" s="13" t="n">
        <v>26</v>
      </c>
      <c r="B27" s="14" t="n">
        <f aca="false">B26*1.08</f>
        <v>85154.1819363817</v>
      </c>
      <c r="C27" s="14" t="n">
        <f aca="false">IF(I26&gt;3,G26*0.3,0)</f>
        <v>47634.0714245064</v>
      </c>
      <c r="D27" s="14" t="n">
        <f aca="false">IF(I26&gt;1,B27*0.12,0)</f>
        <v>10218.5018323658</v>
      </c>
      <c r="E27" s="15" t="n">
        <f aca="false">J26*2000</f>
        <v>18000</v>
      </c>
      <c r="F27" s="14" t="n">
        <f aca="false">B27*0.02*7</f>
        <v>11921.5854710934</v>
      </c>
      <c r="G27" s="14" t="n">
        <f aca="false">B27+C27+D27+E27+F27</f>
        <v>172928.340664347</v>
      </c>
      <c r="H27" s="17" t="n">
        <f aca="false">H26+G27</f>
        <v>1586242.15528463</v>
      </c>
      <c r="I27" s="18" t="n">
        <f aca="false">MAX(1,INT(H27/8000)+1)</f>
        <v>199</v>
      </c>
      <c r="J27" s="18" t="n">
        <f aca="false">IF(H27&gt;150000,INT(H27/150000),IF(H27&gt;75000,1,0))</f>
        <v>10</v>
      </c>
      <c r="K27" s="19" t="n">
        <f aca="false">K26+G27/10000000</f>
        <v>0.158624215528463</v>
      </c>
      <c r="L27" s="20" t="n">
        <f aca="false">(G27-G26)/G26</f>
        <v>0.0891049336717875</v>
      </c>
    </row>
    <row r="28" customFormat="false" ht="15" hidden="false" customHeight="true" outlineLevel="0" collapsed="false">
      <c r="A28" s="13" t="n">
        <v>27</v>
      </c>
      <c r="B28" s="14" t="n">
        <f aca="false">B27*1.08</f>
        <v>91966.5164912923</v>
      </c>
      <c r="C28" s="14" t="n">
        <f aca="false">IF(I27&gt;3,G27*0.3,0)</f>
        <v>51878.5021993042</v>
      </c>
      <c r="D28" s="14" t="n">
        <f aca="false">IF(I27&gt;1,B28*0.12,0)</f>
        <v>11035.9819789551</v>
      </c>
      <c r="E28" s="15" t="n">
        <f aca="false">J27*2000</f>
        <v>20000</v>
      </c>
      <c r="F28" s="14" t="n">
        <f aca="false">B28*0.02*8</f>
        <v>14714.6426386068</v>
      </c>
      <c r="G28" s="14" t="n">
        <f aca="false">B28+C28+D28+E28+F28</f>
        <v>189595.643308158</v>
      </c>
      <c r="H28" s="17" t="n">
        <f aca="false">H27+G28</f>
        <v>1775837.79859279</v>
      </c>
      <c r="I28" s="18" t="n">
        <f aca="false">MAX(1,INT(H28/8000)+1)</f>
        <v>222</v>
      </c>
      <c r="J28" s="18" t="n">
        <f aca="false">IF(H28&gt;150000,INT(H28/150000),IF(H28&gt;75000,1,0))</f>
        <v>11</v>
      </c>
      <c r="K28" s="19" t="n">
        <f aca="false">K27+G28/10000000</f>
        <v>0.177583779859279</v>
      </c>
      <c r="L28" s="20" t="n">
        <f aca="false">(G28-G27)/G27</f>
        <v>0.096382713092483</v>
      </c>
    </row>
    <row r="29" customFormat="false" ht="15" hidden="false" customHeight="true" outlineLevel="0" collapsed="false">
      <c r="A29" s="13" t="n">
        <v>28</v>
      </c>
      <c r="B29" s="14" t="n">
        <f aca="false">B28*1.08</f>
        <v>99323.8378105957</v>
      </c>
      <c r="C29" s="14" t="n">
        <f aca="false">IF(I28&gt;3,G28*0.3,0)</f>
        <v>56878.6929924475</v>
      </c>
      <c r="D29" s="14" t="n">
        <f aca="false">IF(I28&gt;1,B29*0.12,0)</f>
        <v>11918.8605372715</v>
      </c>
      <c r="E29" s="15" t="n">
        <f aca="false">J28*2000</f>
        <v>22000</v>
      </c>
      <c r="F29" s="14" t="n">
        <f aca="false">B29*0.02*8</f>
        <v>15891.8140496953</v>
      </c>
      <c r="G29" s="14" t="n">
        <f aca="false">B29+C29+D29+E29+F29</f>
        <v>206013.20539001</v>
      </c>
      <c r="H29" s="17" t="n">
        <f aca="false">H28+G29</f>
        <v>1981851.0039828</v>
      </c>
      <c r="I29" s="18" t="n">
        <f aca="false">MAX(1,INT(H29/8000)+1)</f>
        <v>248</v>
      </c>
      <c r="J29" s="18" t="n">
        <f aca="false">IF(H29&gt;150000,INT(H29/150000),IF(H29&gt;75000,1,0))</f>
        <v>13</v>
      </c>
      <c r="K29" s="19" t="n">
        <f aca="false">K28+G29/10000000</f>
        <v>0.19818510039828</v>
      </c>
      <c r="L29" s="20" t="n">
        <f aca="false">(G29-G28)/G28</f>
        <v>0.0865925070607629</v>
      </c>
    </row>
    <row r="30" customFormat="false" ht="15" hidden="false" customHeight="true" outlineLevel="0" collapsed="false">
      <c r="A30" s="13" t="n">
        <v>29</v>
      </c>
      <c r="B30" s="14" t="n">
        <f aca="false">B29*1.08</f>
        <v>107269.744835443</v>
      </c>
      <c r="C30" s="14" t="n">
        <f aca="false">IF(I29&gt;3,G29*0.3,0)</f>
        <v>61803.961617003</v>
      </c>
      <c r="D30" s="14" t="n">
        <f aca="false">IF(I29&gt;1,B30*0.12,0)</f>
        <v>12872.3693802532</v>
      </c>
      <c r="E30" s="15" t="n">
        <f aca="false">J29*2000</f>
        <v>26000</v>
      </c>
      <c r="F30" s="14" t="n">
        <f aca="false">B30*0.02*8</f>
        <v>17163.1591736709</v>
      </c>
      <c r="G30" s="14" t="n">
        <f aca="false">B30+C30+D30+E30+F30</f>
        <v>225109.23500637</v>
      </c>
      <c r="H30" s="17" t="n">
        <f aca="false">H29+G30</f>
        <v>2206960.23898917</v>
      </c>
      <c r="I30" s="18" t="n">
        <f aca="false">MAX(1,INT(H30/8000)+1)</f>
        <v>276</v>
      </c>
      <c r="J30" s="18" t="n">
        <f aca="false">IF(H30&gt;150000,INT(H30/150000),IF(H30&gt;75000,1,0))</f>
        <v>14</v>
      </c>
      <c r="K30" s="19" t="n">
        <f aca="false">K29+G30/10000000</f>
        <v>0.220696023898917</v>
      </c>
      <c r="L30" s="20" t="n">
        <f aca="false">(G30-G29)/G29</f>
        <v>0.0926932309033743</v>
      </c>
    </row>
    <row r="31" customFormat="false" ht="15" hidden="false" customHeight="true" outlineLevel="0" collapsed="false">
      <c r="A31" s="13" t="n">
        <v>30</v>
      </c>
      <c r="B31" s="14" t="n">
        <f aca="false">B30*1.08</f>
        <v>115851.324422279</v>
      </c>
      <c r="C31" s="14" t="n">
        <f aca="false">IF(I30&gt;3,G30*0.3,0)</f>
        <v>67532.7705019111</v>
      </c>
      <c r="D31" s="14" t="n">
        <f aca="false">IF(I30&gt;1,B31*0.12,0)</f>
        <v>13902.1589306735</v>
      </c>
      <c r="E31" s="15" t="n">
        <f aca="false">J30*2000</f>
        <v>28000</v>
      </c>
      <c r="F31" s="14" t="n">
        <f aca="false">B31*0.02*9</f>
        <v>20853.2383960102</v>
      </c>
      <c r="G31" s="14" t="n">
        <f aca="false">B31+C31+D31+E31+F31</f>
        <v>246139.492250874</v>
      </c>
      <c r="H31" s="17" t="n">
        <f aca="false">H30+G31</f>
        <v>2453099.73124004</v>
      </c>
      <c r="I31" s="18" t="n">
        <f aca="false">MAX(1,INT(H31/8000)+1)</f>
        <v>307</v>
      </c>
      <c r="J31" s="18" t="n">
        <f aca="false">IF(H31&gt;150000,INT(H31/150000),IF(H31&gt;75000,1,0))</f>
        <v>16</v>
      </c>
      <c r="K31" s="19" t="n">
        <f aca="false">K30+G31/10000000</f>
        <v>0.245309973124004</v>
      </c>
      <c r="L31" s="20" t="n">
        <f aca="false">(G31-G30)/G30</f>
        <v>0.0934224544093361</v>
      </c>
    </row>
    <row r="32" customFormat="false" ht="15" hidden="false" customHeight="true" outlineLevel="0" collapsed="false">
      <c r="A32" s="13" t="n">
        <v>31</v>
      </c>
      <c r="B32" s="14" t="n">
        <f aca="false">B31*1.08</f>
        <v>125119.430376061</v>
      </c>
      <c r="C32" s="14" t="n">
        <f aca="false">IF(I31&gt;3,G31*0.3,0)</f>
        <v>73841.8476752621</v>
      </c>
      <c r="D32" s="14" t="n">
        <f aca="false">IF(I31&gt;1,B32*0.12,0)</f>
        <v>15014.3316451273</v>
      </c>
      <c r="E32" s="15" t="n">
        <f aca="false">J31*2000</f>
        <v>32000</v>
      </c>
      <c r="F32" s="14" t="n">
        <f aca="false">B32*0.02*9</f>
        <v>22521.497467691</v>
      </c>
      <c r="G32" s="14" t="n">
        <f aca="false">B32+C32+D32+E32+F32</f>
        <v>268497.107164142</v>
      </c>
      <c r="H32" s="17" t="n">
        <f aca="false">H31+G32</f>
        <v>2721596.83840418</v>
      </c>
      <c r="I32" s="18" t="n">
        <f aca="false">MAX(1,INT(H32/8000)+1)</f>
        <v>341</v>
      </c>
      <c r="J32" s="18" t="n">
        <f aca="false">IF(H32&gt;150000,INT(H32/150000),IF(H32&gt;75000,1,0))</f>
        <v>18</v>
      </c>
      <c r="K32" s="19" t="n">
        <f aca="false">K31+G32/10000000</f>
        <v>0.272159683840418</v>
      </c>
      <c r="L32" s="20" t="n">
        <f aca="false">(G32-G31)/G31</f>
        <v>0.090833107311688</v>
      </c>
    </row>
    <row r="33" customFormat="false" ht="15" hidden="false" customHeight="true" outlineLevel="0" collapsed="false">
      <c r="A33" s="13" t="n">
        <v>32</v>
      </c>
      <c r="B33" s="14" t="n">
        <f aca="false">B32*1.08</f>
        <v>135128.984806146</v>
      </c>
      <c r="C33" s="14" t="n">
        <f aca="false">IF(I32&gt;3,G32*0.3,0)</f>
        <v>80549.1321492425</v>
      </c>
      <c r="D33" s="14" t="n">
        <f aca="false">IF(I32&gt;1,B33*0.12,0)</f>
        <v>16215.4781767375</v>
      </c>
      <c r="E33" s="15" t="n">
        <f aca="false">J32*2000</f>
        <v>36000</v>
      </c>
      <c r="F33" s="14" t="n">
        <f aca="false">B33*0.02*9</f>
        <v>24323.2172651063</v>
      </c>
      <c r="G33" s="14" t="n">
        <f aca="false">B33+C33+D33+E33+F33</f>
        <v>292216.812397232</v>
      </c>
      <c r="H33" s="17" t="n">
        <f aca="false">H32+G33</f>
        <v>3013813.65080141</v>
      </c>
      <c r="I33" s="18" t="n">
        <f aca="false">MAX(1,INT(H33/8000)+1)</f>
        <v>377</v>
      </c>
      <c r="J33" s="18" t="n">
        <f aca="false">IF(H33&gt;150000,INT(H33/150000),IF(H33&gt;75000,1,0))</f>
        <v>20</v>
      </c>
      <c r="K33" s="19" t="n">
        <f aca="false">K32+G33/10000000</f>
        <v>0.301381365080141</v>
      </c>
      <c r="L33" s="20" t="n">
        <f aca="false">(G33-G32)/G32</f>
        <v>0.0883424982995815</v>
      </c>
    </row>
    <row r="34" customFormat="false" ht="15" hidden="false" customHeight="true" outlineLevel="0" collapsed="false">
      <c r="A34" s="13" t="n">
        <v>33</v>
      </c>
      <c r="B34" s="14" t="n">
        <f aca="false">B33*1.08</f>
        <v>145939.303590638</v>
      </c>
      <c r="C34" s="14" t="n">
        <f aca="false">IF(I33&gt;3,G33*0.3,0)</f>
        <v>87665.0437191697</v>
      </c>
      <c r="D34" s="14" t="n">
        <f aca="false">IF(I33&gt;1,B34*0.12,0)</f>
        <v>17512.7164308765</v>
      </c>
      <c r="E34" s="15" t="n">
        <f aca="false">J33*2000</f>
        <v>40000</v>
      </c>
      <c r="F34" s="14" t="n">
        <f aca="false">B34*0.02*10</f>
        <v>29187.8607181275</v>
      </c>
      <c r="G34" s="14" t="n">
        <f aca="false">B34+C34+D34+E34+F34</f>
        <v>320304.924458811</v>
      </c>
      <c r="H34" s="17" t="n">
        <f aca="false">H33+G34</f>
        <v>3334118.57526023</v>
      </c>
      <c r="I34" s="18" t="n">
        <f aca="false">MAX(1,INT(H34/8000)+1)</f>
        <v>417</v>
      </c>
      <c r="J34" s="18" t="n">
        <f aca="false">IF(H34&gt;150000,INT(H34/150000),IF(H34&gt;75000,1,0))</f>
        <v>22</v>
      </c>
      <c r="K34" s="19" t="n">
        <f aca="false">K33+G34/10000000</f>
        <v>0.333411857526023</v>
      </c>
      <c r="L34" s="20" t="n">
        <f aca="false">(G34-G33)/G33</f>
        <v>0.0961207941156953</v>
      </c>
    </row>
    <row r="35" customFormat="false" ht="15" hidden="false" customHeight="true" outlineLevel="0" collapsed="false">
      <c r="A35" s="13" t="n">
        <v>34</v>
      </c>
      <c r="B35" s="14" t="n">
        <f aca="false">B34*1.08</f>
        <v>157614.447877889</v>
      </c>
      <c r="C35" s="14" t="n">
        <f aca="false">IF(I34&gt;3,G34*0.3,0)</f>
        <v>96091.4773376434</v>
      </c>
      <c r="D35" s="14" t="n">
        <f aca="false">IF(I34&gt;1,B35*0.12,0)</f>
        <v>18913.7337453466</v>
      </c>
      <c r="E35" s="15" t="n">
        <f aca="false">J34*2000</f>
        <v>44000</v>
      </c>
      <c r="F35" s="14" t="n">
        <f aca="false">B35*0.02*10</f>
        <v>31522.8895755777</v>
      </c>
      <c r="G35" s="14" t="n">
        <f aca="false">B35+C35+D35+E35+F35</f>
        <v>348142.548536457</v>
      </c>
      <c r="H35" s="17" t="n">
        <f aca="false">H34+G35</f>
        <v>3682261.12379668</v>
      </c>
      <c r="I35" s="18" t="n">
        <f aca="false">MAX(1,INT(H35/8000)+1)</f>
        <v>461</v>
      </c>
      <c r="J35" s="18" t="n">
        <f aca="false">IF(H35&gt;150000,INT(H35/150000),IF(H35&gt;75000,1,0))</f>
        <v>24</v>
      </c>
      <c r="K35" s="19" t="n">
        <f aca="false">K34+G35/10000000</f>
        <v>0.368226112379668</v>
      </c>
      <c r="L35" s="20" t="n">
        <f aca="false">(G35-G34)/G34</f>
        <v>0.0869097598941999</v>
      </c>
    </row>
    <row r="36" customFormat="false" ht="15" hidden="false" customHeight="true" outlineLevel="0" collapsed="false">
      <c r="A36" s="13" t="n">
        <v>35</v>
      </c>
      <c r="B36" s="14" t="n">
        <f aca="false">B35*1.08</f>
        <v>170223.60370812</v>
      </c>
      <c r="C36" s="14" t="n">
        <f aca="false">IF(I35&gt;3,G35*0.3,0)</f>
        <v>104442.764560937</v>
      </c>
      <c r="D36" s="14" t="n">
        <f aca="false">IF(I35&gt;1,B36*0.12,0)</f>
        <v>20426.8324449744</v>
      </c>
      <c r="E36" s="15" t="n">
        <f aca="false">J35*2000</f>
        <v>48000</v>
      </c>
      <c r="F36" s="14" t="n">
        <f aca="false">B36*0.02*10</f>
        <v>34044.720741624</v>
      </c>
      <c r="G36" s="14" t="n">
        <f aca="false">B36+C36+D36+E36+F36</f>
        <v>377137.921455655</v>
      </c>
      <c r="H36" s="17" t="n">
        <f aca="false">H35+G36</f>
        <v>4059399.04525234</v>
      </c>
      <c r="I36" s="18" t="n">
        <f aca="false">MAX(1,INT(H36/8000)+1)</f>
        <v>508</v>
      </c>
      <c r="J36" s="18" t="n">
        <f aca="false">IF(H36&gt;150000,INT(H36/150000),IF(H36&gt;75000,1,0))</f>
        <v>27</v>
      </c>
      <c r="K36" s="19" t="n">
        <f aca="false">K35+G36/10000000</f>
        <v>0.405939904525234</v>
      </c>
      <c r="L36" s="20" t="n">
        <f aca="false">(G36-G35)/G35</f>
        <v>0.0832859213591994</v>
      </c>
    </row>
    <row r="37" customFormat="false" ht="15" hidden="false" customHeight="true" outlineLevel="0" collapsed="false">
      <c r="A37" s="13" t="n">
        <v>36</v>
      </c>
      <c r="B37" s="14" t="n">
        <f aca="false">B36*1.08</f>
        <v>183841.492004769</v>
      </c>
      <c r="C37" s="14" t="n">
        <f aca="false">IF(I36&gt;3,G36*0.3,0)</f>
        <v>113141.376436697</v>
      </c>
      <c r="D37" s="14" t="n">
        <f aca="false">IF(I36&gt;1,B37*0.12,0)</f>
        <v>22060.9790405723</v>
      </c>
      <c r="E37" s="15" t="n">
        <f aca="false">J36*2000</f>
        <v>54000</v>
      </c>
      <c r="F37" s="14" t="n">
        <f aca="false">B37*0.02*11</f>
        <v>40445.1282410493</v>
      </c>
      <c r="G37" s="14" t="n">
        <f aca="false">B37+C37+D37+E37+F37</f>
        <v>413488.975723088</v>
      </c>
      <c r="H37" s="17" t="n">
        <f aca="false">H36+G37</f>
        <v>4472888.02097543</v>
      </c>
      <c r="I37" s="18" t="n">
        <f aca="false">MAX(1,INT(H37/8000)+1)</f>
        <v>560</v>
      </c>
      <c r="J37" s="18" t="n">
        <f aca="false">IF(H37&gt;150000,INT(H37/150000),IF(H37&gt;75000,1,0))</f>
        <v>29</v>
      </c>
      <c r="K37" s="19" t="n">
        <f aca="false">K36+G37/10000000</f>
        <v>0.447288802097543</v>
      </c>
      <c r="L37" s="20" t="n">
        <f aca="false">(G37-G36)/G36</f>
        <v>0.0963866325802686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35"/>
    <col collapsed="false" customWidth="true" hidden="false" outlineLevel="0" max="7" min="7" style="1" width="25"/>
  </cols>
  <sheetData>
    <row r="1" customFormat="false" ht="26.25" hidden="false" customHeight="true" outlineLevel="0" collapsed="false">
      <c r="A1" s="2" t="s">
        <v>97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</row>
    <row r="2" customFormat="false" ht="15" hidden="false" customHeight="true" outlineLevel="0" collapsed="false">
      <c r="A2" s="21" t="s">
        <v>104</v>
      </c>
      <c r="B2" s="21" t="s">
        <v>105</v>
      </c>
      <c r="C2" s="21" t="s">
        <v>106</v>
      </c>
      <c r="D2" s="21" t="s">
        <v>105</v>
      </c>
      <c r="E2" s="21" t="s">
        <v>107</v>
      </c>
      <c r="F2" s="21" t="s">
        <v>108</v>
      </c>
      <c r="G2" s="21" t="s">
        <v>109</v>
      </c>
    </row>
    <row r="3" customFormat="false" ht="15" hidden="false" customHeight="true" outlineLevel="0" collapsed="false">
      <c r="A3" s="22" t="s">
        <v>110</v>
      </c>
      <c r="B3" s="22" t="s">
        <v>111</v>
      </c>
      <c r="C3" s="22" t="s">
        <v>112</v>
      </c>
      <c r="D3" s="22" t="s">
        <v>113</v>
      </c>
      <c r="E3" s="22" t="s">
        <v>114</v>
      </c>
      <c r="F3" s="22" t="s">
        <v>115</v>
      </c>
      <c r="G3" s="22" t="s">
        <v>116</v>
      </c>
    </row>
    <row r="4" customFormat="false" ht="26.25" hidden="false" customHeight="true" outlineLevel="0" collapsed="false">
      <c r="A4" s="23" t="s">
        <v>117</v>
      </c>
      <c r="B4" s="23" t="s">
        <v>118</v>
      </c>
      <c r="C4" s="23" t="s">
        <v>119</v>
      </c>
      <c r="D4" s="23" t="s">
        <v>120</v>
      </c>
      <c r="E4" s="23" t="s">
        <v>121</v>
      </c>
      <c r="F4" s="23" t="s">
        <v>122</v>
      </c>
      <c r="G4" s="23" t="s">
        <v>123</v>
      </c>
    </row>
    <row r="5" customFormat="false" ht="26.25" hidden="false" customHeight="true" outlineLevel="0" collapsed="false">
      <c r="A5" s="23" t="s">
        <v>124</v>
      </c>
      <c r="B5" s="23" t="s">
        <v>125</v>
      </c>
      <c r="C5" s="23" t="s">
        <v>126</v>
      </c>
      <c r="D5" s="23" t="s">
        <v>127</v>
      </c>
      <c r="E5" s="23" t="s">
        <v>128</v>
      </c>
      <c r="F5" s="23" t="s">
        <v>129</v>
      </c>
      <c r="G5" s="23" t="s">
        <v>130</v>
      </c>
    </row>
    <row r="6" customFormat="false" ht="26.25" hidden="false" customHeight="true" outlineLevel="0" collapsed="false">
      <c r="A6" s="22" t="s">
        <v>131</v>
      </c>
      <c r="B6" s="22" t="s">
        <v>132</v>
      </c>
      <c r="C6" s="22" t="s">
        <v>133</v>
      </c>
      <c r="D6" s="22" t="s">
        <v>134</v>
      </c>
      <c r="E6" s="22" t="s">
        <v>135</v>
      </c>
      <c r="F6" s="22" t="s">
        <v>136</v>
      </c>
      <c r="G6" s="22" t="s">
        <v>137</v>
      </c>
    </row>
    <row r="7" customFormat="false" ht="15" hidden="false" customHeight="true" outlineLevel="0" collapsed="false">
      <c r="A7" s="23" t="s">
        <v>138</v>
      </c>
      <c r="B7" s="23" t="s">
        <v>139</v>
      </c>
      <c r="C7" s="23" t="s">
        <v>140</v>
      </c>
      <c r="D7" s="23" t="s">
        <v>141</v>
      </c>
      <c r="E7" s="23" t="s">
        <v>142</v>
      </c>
      <c r="F7" s="23" t="s">
        <v>143</v>
      </c>
      <c r="G7" s="23" t="s">
        <v>144</v>
      </c>
    </row>
    <row r="8" customFormat="false" ht="26.25" hidden="false" customHeight="true" outlineLevel="0" collapsed="false">
      <c r="A8" s="23" t="s">
        <v>145</v>
      </c>
      <c r="B8" s="23" t="s">
        <v>146</v>
      </c>
      <c r="C8" s="23" t="s">
        <v>147</v>
      </c>
      <c r="D8" s="23" t="s">
        <v>148</v>
      </c>
      <c r="E8" s="23" t="s">
        <v>149</v>
      </c>
      <c r="F8" s="23" t="s">
        <v>150</v>
      </c>
      <c r="G8" s="23" t="s">
        <v>151</v>
      </c>
    </row>
    <row r="9" customFormat="false" ht="15" hidden="false" customHeight="true" outlineLevel="0" collapsed="false">
      <c r="A9" s="23" t="s">
        <v>152</v>
      </c>
      <c r="B9" s="23" t="s">
        <v>153</v>
      </c>
      <c r="C9" s="23" t="s">
        <v>154</v>
      </c>
      <c r="D9" s="23" t="s">
        <v>155</v>
      </c>
      <c r="E9" s="23" t="s">
        <v>156</v>
      </c>
      <c r="F9" s="23" t="s">
        <v>157</v>
      </c>
      <c r="G9" s="23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5" min="4" style="1" width="15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16"/>
    <col collapsed="false" customWidth="true" hidden="false" outlineLevel="0" max="9" min="9" style="1" width="17"/>
  </cols>
  <sheetData>
    <row r="1" customFormat="false" ht="26.25" hidden="false" customHeight="true" outlineLevel="0" collapsed="false">
      <c r="A1" s="2" t="s">
        <v>158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</row>
    <row r="2" customFormat="false" ht="15" hidden="false" customHeight="true" outlineLevel="0" collapsed="false">
      <c r="A2" s="13" t="n">
        <v>1</v>
      </c>
      <c r="B2" s="24" t="n">
        <v>228000</v>
      </c>
      <c r="C2" s="25" t="n">
        <v>0.4</v>
      </c>
      <c r="D2" s="14" t="n">
        <f aca="false">B2*C2</f>
        <v>91200</v>
      </c>
      <c r="E2" s="26" t="n">
        <v>3</v>
      </c>
      <c r="F2" s="14" t="n">
        <f aca="false">B2*E2</f>
        <v>684000</v>
      </c>
      <c r="G2" s="25" t="n">
        <v>1</v>
      </c>
      <c r="H2" s="17" t="n">
        <f aca="false">F2*G2</f>
        <v>684000</v>
      </c>
      <c r="I2" s="20" t="n">
        <f aca="false">0</f>
        <v>0</v>
      </c>
    </row>
    <row r="3" customFormat="false" ht="15" hidden="false" customHeight="true" outlineLevel="0" collapsed="false">
      <c r="A3" s="13" t="n">
        <v>2</v>
      </c>
      <c r="B3" s="24" t="n">
        <v>909000</v>
      </c>
      <c r="C3" s="25" t="n">
        <v>0.48</v>
      </c>
      <c r="D3" s="14" t="n">
        <f aca="false">B3*C3</f>
        <v>436320</v>
      </c>
      <c r="E3" s="26" t="n">
        <v>5</v>
      </c>
      <c r="F3" s="14" t="n">
        <f aca="false">B3*E3</f>
        <v>4545000</v>
      </c>
      <c r="G3" s="25" t="n">
        <v>0.8</v>
      </c>
      <c r="H3" s="17" t="n">
        <f aca="false">F3*G3</f>
        <v>3636000</v>
      </c>
      <c r="I3" s="20" t="n">
        <f aca="false">(H3-H2)/H2</f>
        <v>4.31578947368421</v>
      </c>
    </row>
    <row r="4" customFormat="false" ht="15" hidden="false" customHeight="true" outlineLevel="0" collapsed="false">
      <c r="A4" s="13" t="n">
        <v>3</v>
      </c>
      <c r="B4" s="24" t="n">
        <v>3400000</v>
      </c>
      <c r="C4" s="25" t="n">
        <v>0.52</v>
      </c>
      <c r="D4" s="14" t="n">
        <f aca="false">B4*C4</f>
        <v>1768000</v>
      </c>
      <c r="E4" s="26" t="n">
        <v>8</v>
      </c>
      <c r="F4" s="14" t="n">
        <f aca="false">B4*E4</f>
        <v>27200000</v>
      </c>
      <c r="G4" s="25" t="n">
        <v>0.6</v>
      </c>
      <c r="H4" s="17" t="n">
        <f aca="false">F4*G4</f>
        <v>16320000</v>
      </c>
      <c r="I4" s="20" t="n">
        <f aca="false">(H4-H3)/H3</f>
        <v>3.48844884488449</v>
      </c>
    </row>
    <row r="5" customFormat="false" ht="15" hidden="false" customHeight="true" outlineLevel="0" collapsed="false">
      <c r="A5" s="13" t="n">
        <v>4</v>
      </c>
      <c r="B5" s="24" t="n">
        <v>12000000</v>
      </c>
      <c r="C5" s="25" t="n">
        <v>0.55</v>
      </c>
      <c r="D5" s="14" t="n">
        <f aca="false">B5*C5</f>
        <v>6600000</v>
      </c>
      <c r="E5" s="26" t="n">
        <v>12</v>
      </c>
      <c r="F5" s="14" t="n">
        <f aca="false">B5*E5</f>
        <v>144000000</v>
      </c>
      <c r="G5" s="25" t="n">
        <v>0.5</v>
      </c>
      <c r="H5" s="17" t="n">
        <f aca="false">F5*G5</f>
        <v>72000000</v>
      </c>
      <c r="I5" s="20" t="n">
        <f aca="false">(H5-H4)/H4</f>
        <v>3.41176470588235</v>
      </c>
    </row>
    <row r="6" customFormat="false" ht="15" hidden="false" customHeight="true" outlineLevel="0" collapsed="false">
      <c r="A6" s="13" t="n">
        <v>5</v>
      </c>
      <c r="B6" s="24" t="n">
        <v>40000000</v>
      </c>
      <c r="C6" s="25" t="n">
        <v>0.58</v>
      </c>
      <c r="D6" s="14" t="n">
        <f aca="false">B6*C6</f>
        <v>23200000</v>
      </c>
      <c r="E6" s="26" t="n">
        <v>15</v>
      </c>
      <c r="F6" s="14" t="n">
        <f aca="false">B6*E6</f>
        <v>600000000</v>
      </c>
      <c r="G6" s="25" t="n">
        <v>0.5</v>
      </c>
      <c r="H6" s="17" t="n">
        <f aca="false">F6*G6</f>
        <v>300000000</v>
      </c>
      <c r="I6" s="20" t="n">
        <f aca="false">(H6-H5)/H5</f>
        <v>3.16666666666667</v>
      </c>
    </row>
    <row r="7" customFormat="false" ht="15" hidden="false" customHeight="true" outlineLevel="0" collapsed="false">
      <c r="A7" s="13" t="n">
        <v>6</v>
      </c>
      <c r="B7" s="24" t="n">
        <v>120000000</v>
      </c>
      <c r="C7" s="25" t="n">
        <v>0.6</v>
      </c>
      <c r="D7" s="14" t="n">
        <f aca="false">B7*C7</f>
        <v>72000000</v>
      </c>
      <c r="E7" s="26" t="n">
        <v>20</v>
      </c>
      <c r="F7" s="14" t="n">
        <f aca="false">B7*E7</f>
        <v>2400000000</v>
      </c>
      <c r="G7" s="25" t="n">
        <v>0.45</v>
      </c>
      <c r="H7" s="17" t="n">
        <f aca="false">F7*G7</f>
        <v>1080000000</v>
      </c>
      <c r="I7" s="20" t="n">
        <f aca="false">(H7-H6)/H6</f>
        <v>2.6</v>
      </c>
    </row>
    <row r="8" customFormat="false" ht="15" hidden="false" customHeight="true" outlineLevel="0" collapsed="false">
      <c r="A8" s="13" t="n">
        <v>7</v>
      </c>
      <c r="B8" s="24" t="n">
        <v>350000000</v>
      </c>
      <c r="C8" s="25" t="n">
        <v>0.62</v>
      </c>
      <c r="D8" s="14" t="n">
        <f aca="false">B8*C8</f>
        <v>217000000</v>
      </c>
      <c r="E8" s="26" t="n">
        <v>25</v>
      </c>
      <c r="F8" s="14" t="n">
        <f aca="false">B8*E8</f>
        <v>8750000000</v>
      </c>
      <c r="G8" s="25" t="n">
        <v>0.4</v>
      </c>
      <c r="H8" s="17" t="n">
        <f aca="false">F8*G8</f>
        <v>3500000000</v>
      </c>
      <c r="I8" s="20" t="n">
        <f aca="false">(H8-H7)/H7</f>
        <v>2.24074074074074</v>
      </c>
    </row>
    <row r="9" customFormat="false" ht="15" hidden="false" customHeight="true" outlineLevel="0" collapsed="false">
      <c r="A9" s="13" t="n">
        <v>8</v>
      </c>
      <c r="B9" s="24" t="n">
        <v>1000000000</v>
      </c>
      <c r="C9" s="25" t="n">
        <v>0.65</v>
      </c>
      <c r="D9" s="14" t="n">
        <f aca="false">B9*C9</f>
        <v>650000000</v>
      </c>
      <c r="E9" s="26" t="n">
        <v>30</v>
      </c>
      <c r="F9" s="14" t="n">
        <f aca="false">B9*E9</f>
        <v>30000000000</v>
      </c>
      <c r="G9" s="25" t="n">
        <v>0.35</v>
      </c>
      <c r="H9" s="17" t="n">
        <f aca="false">F9*G9</f>
        <v>10500000000</v>
      </c>
      <c r="I9" s="20" t="n">
        <f aca="false">(H9-H8)/H8</f>
        <v>2</v>
      </c>
    </row>
    <row r="10" customFormat="false" ht="15" hidden="false" customHeight="true" outlineLevel="0" collapsed="false">
      <c r="A10" s="13" t="n">
        <v>9</v>
      </c>
      <c r="B10" s="24" t="n">
        <v>3000000000</v>
      </c>
      <c r="C10" s="25" t="n">
        <v>0.67</v>
      </c>
      <c r="D10" s="14" t="n">
        <f aca="false">B10*C10</f>
        <v>2010000000</v>
      </c>
      <c r="E10" s="26" t="n">
        <v>35</v>
      </c>
      <c r="F10" s="14" t="n">
        <f aca="false">B10*E10</f>
        <v>105000000000</v>
      </c>
      <c r="G10" s="25" t="n">
        <v>0.35</v>
      </c>
      <c r="H10" s="17" t="n">
        <f aca="false">F10*G10</f>
        <v>36750000000</v>
      </c>
      <c r="I10" s="20" t="n">
        <f aca="false">(H10-H9)/H9</f>
        <v>2.5</v>
      </c>
    </row>
    <row r="11" customFormat="false" ht="15" hidden="false" customHeight="true" outlineLevel="0" collapsed="false">
      <c r="A11" s="13" t="n">
        <v>10</v>
      </c>
      <c r="B11" s="24" t="n">
        <v>10000000000</v>
      </c>
      <c r="C11" s="25" t="n">
        <v>0.7</v>
      </c>
      <c r="D11" s="14" t="n">
        <f aca="false">B11*C11</f>
        <v>7000000000</v>
      </c>
      <c r="E11" s="26" t="n">
        <v>40</v>
      </c>
      <c r="F11" s="14" t="n">
        <f aca="false">B11*E11</f>
        <v>400000000000</v>
      </c>
      <c r="G11" s="25" t="n">
        <v>0.35</v>
      </c>
      <c r="H11" s="17" t="n">
        <f aca="false">F11*G11</f>
        <v>140000000000</v>
      </c>
      <c r="I11" s="20" t="n">
        <f aca="false">(H11-H10)/H10</f>
        <v>2.80952380952381</v>
      </c>
    </row>
    <row r="14" customFormat="false" ht="15" hidden="false" customHeight="true" outlineLevel="0" collapsed="false">
      <c r="A14" s="10" t="s">
        <v>167</v>
      </c>
    </row>
    <row r="15" customFormat="false" ht="15" hidden="false" customHeight="true" outlineLevel="0" collapsed="false">
      <c r="A15" s="27" t="s">
        <v>168</v>
      </c>
      <c r="B15" s="27"/>
      <c r="C15" s="27"/>
      <c r="D15" s="27"/>
      <c r="E15" s="27"/>
      <c r="F15" s="27"/>
      <c r="G15" s="27"/>
      <c r="H15" s="27"/>
      <c r="I15" s="27"/>
    </row>
    <row r="16" customFormat="false" ht="15" hidden="false" customHeight="true" outlineLevel="0" collapsed="false">
      <c r="A16" s="27" t="s">
        <v>169</v>
      </c>
      <c r="B16" s="27"/>
      <c r="C16" s="27"/>
      <c r="D16" s="27"/>
      <c r="E16" s="27"/>
      <c r="F16" s="27"/>
      <c r="G16" s="27"/>
      <c r="H16" s="27"/>
      <c r="I16" s="27"/>
    </row>
    <row r="17" customFormat="false" ht="15" hidden="false" customHeight="true" outlineLevel="0" collapsed="false">
      <c r="A17" s="27" t="s">
        <v>170</v>
      </c>
      <c r="B17" s="27"/>
      <c r="C17" s="27"/>
      <c r="D17" s="27"/>
      <c r="E17" s="27"/>
      <c r="F17" s="27"/>
      <c r="G17" s="27"/>
      <c r="H17" s="27"/>
      <c r="I17" s="27"/>
    </row>
    <row r="18" customFormat="false" ht="15" hidden="false" customHeight="true" outlineLevel="0" collapsed="false">
      <c r="A18" s="27" t="s">
        <v>171</v>
      </c>
      <c r="B18" s="27"/>
      <c r="C18" s="27"/>
      <c r="D18" s="27"/>
      <c r="E18" s="27"/>
      <c r="F18" s="27"/>
      <c r="G18" s="27"/>
      <c r="H18" s="27"/>
      <c r="I18" s="27"/>
    </row>
  </sheetData>
  <mergeCells count="4"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5"/>
    <col collapsed="false" customWidth="true" hidden="false" outlineLevel="0" max="5" min="4" style="1" width="14"/>
    <col collapsed="false" customWidth="true" hidden="false" outlineLevel="0" max="7" min="6" style="1" width="12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5"/>
    <col collapsed="false" customWidth="true" hidden="false" outlineLevel="0" max="11" min="11" style="1" width="18"/>
    <col collapsed="false" customWidth="true" hidden="false" outlineLevel="0" max="12" min="12" style="1" width="25"/>
  </cols>
  <sheetData>
    <row r="1" customFormat="false" ht="26.25" hidden="false" customHeight="true" outlineLevel="0" collapsed="false">
      <c r="A1" s="2" t="s">
        <v>172</v>
      </c>
      <c r="B1" s="2" t="s">
        <v>173</v>
      </c>
      <c r="C1" s="2" t="s">
        <v>174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  <c r="K1" s="2" t="s">
        <v>92</v>
      </c>
      <c r="L1" s="2" t="s">
        <v>182</v>
      </c>
    </row>
    <row r="2" customFormat="false" ht="15" hidden="false" customHeight="true" outlineLevel="0" collapsed="false">
      <c r="A2" s="1" t="n">
        <v>1</v>
      </c>
      <c r="B2" s="28" t="n">
        <v>45658</v>
      </c>
      <c r="D2" s="1" t="n">
        <v>0</v>
      </c>
      <c r="E2" s="1" t="n">
        <v>0</v>
      </c>
      <c r="F2" s="1" t="n">
        <v>0</v>
      </c>
      <c r="G2" s="14" t="n">
        <v>0</v>
      </c>
      <c r="H2" s="1" t="n">
        <v>0</v>
      </c>
      <c r="I2" s="1" t="n">
        <v>0</v>
      </c>
      <c r="J2" s="1" t="n">
        <v>0</v>
      </c>
      <c r="K2" s="17" t="n">
        <f aca="false">G2</f>
        <v>0</v>
      </c>
    </row>
    <row r="3" customFormat="false" ht="15" hidden="false" customHeight="true" outlineLevel="0" collapsed="false">
      <c r="A3" s="1" t="n">
        <v>2</v>
      </c>
      <c r="B3" s="28" t="n">
        <v>45659</v>
      </c>
      <c r="D3" s="1" t="n">
        <v>0</v>
      </c>
      <c r="E3" s="1" t="n">
        <v>0</v>
      </c>
      <c r="F3" s="1" t="n">
        <v>0</v>
      </c>
      <c r="G3" s="14" t="n">
        <v>0</v>
      </c>
      <c r="H3" s="1" t="n">
        <v>0</v>
      </c>
      <c r="I3" s="1" t="n">
        <v>0</v>
      </c>
      <c r="J3" s="1" t="n">
        <v>0</v>
      </c>
      <c r="K3" s="17" t="n">
        <f aca="false">K2+G3</f>
        <v>0</v>
      </c>
    </row>
    <row r="4" customFormat="false" ht="15" hidden="false" customHeight="true" outlineLevel="0" collapsed="false">
      <c r="A4" s="1" t="n">
        <v>3</v>
      </c>
      <c r="B4" s="28" t="n">
        <v>45660</v>
      </c>
      <c r="D4" s="1" t="n">
        <v>0</v>
      </c>
      <c r="E4" s="1" t="n">
        <v>0</v>
      </c>
      <c r="F4" s="1" t="n">
        <v>0</v>
      </c>
      <c r="G4" s="14" t="n">
        <v>0</v>
      </c>
      <c r="H4" s="1" t="n">
        <v>0</v>
      </c>
      <c r="I4" s="1" t="n">
        <v>0</v>
      </c>
      <c r="J4" s="1" t="n">
        <v>0</v>
      </c>
      <c r="K4" s="17" t="n">
        <f aca="false">K3+G4</f>
        <v>0</v>
      </c>
    </row>
    <row r="5" customFormat="false" ht="15" hidden="false" customHeight="true" outlineLevel="0" collapsed="false">
      <c r="A5" s="1" t="n">
        <v>4</v>
      </c>
      <c r="B5" s="28" t="n">
        <v>45661</v>
      </c>
      <c r="D5" s="1" t="n">
        <v>0</v>
      </c>
      <c r="E5" s="1" t="n">
        <v>0</v>
      </c>
      <c r="F5" s="1" t="n">
        <v>0</v>
      </c>
      <c r="G5" s="14" t="n">
        <v>0</v>
      </c>
      <c r="H5" s="1" t="n">
        <v>0</v>
      </c>
      <c r="I5" s="1" t="n">
        <v>0</v>
      </c>
      <c r="J5" s="1" t="n">
        <v>0</v>
      </c>
      <c r="K5" s="17" t="n">
        <f aca="false">K4+G5</f>
        <v>0</v>
      </c>
    </row>
    <row r="6" customFormat="false" ht="15" hidden="false" customHeight="true" outlineLevel="0" collapsed="false">
      <c r="A6" s="1" t="n">
        <v>5</v>
      </c>
      <c r="B6" s="28" t="n">
        <v>45662</v>
      </c>
      <c r="D6" s="1" t="n">
        <v>0</v>
      </c>
      <c r="E6" s="1" t="n">
        <v>0</v>
      </c>
      <c r="F6" s="1" t="n">
        <v>0</v>
      </c>
      <c r="G6" s="14" t="n">
        <v>0</v>
      </c>
      <c r="H6" s="1" t="n">
        <v>0</v>
      </c>
      <c r="I6" s="1" t="n">
        <v>0</v>
      </c>
      <c r="J6" s="1" t="n">
        <v>0</v>
      </c>
      <c r="K6" s="17" t="n">
        <f aca="false">K5+G6</f>
        <v>0</v>
      </c>
    </row>
    <row r="7" customFormat="false" ht="15" hidden="false" customHeight="true" outlineLevel="0" collapsed="false">
      <c r="A7" s="1" t="n">
        <v>6</v>
      </c>
      <c r="B7" s="28" t="n">
        <v>45663</v>
      </c>
      <c r="D7" s="1" t="n">
        <v>0</v>
      </c>
      <c r="E7" s="1" t="n">
        <v>0</v>
      </c>
      <c r="F7" s="1" t="n">
        <v>0</v>
      </c>
      <c r="G7" s="14" t="n">
        <f aca="false">IF(F7&gt;0,F7*10000,IF(MOD(6,7)=0,2500,0))</f>
        <v>0</v>
      </c>
      <c r="H7" s="1" t="n">
        <v>0</v>
      </c>
      <c r="I7" s="1" t="n">
        <v>0</v>
      </c>
      <c r="J7" s="1" t="n">
        <v>0</v>
      </c>
      <c r="K7" s="17" t="n">
        <f aca="false">K6+G7</f>
        <v>0</v>
      </c>
    </row>
    <row r="8" customFormat="false" ht="15" hidden="false" customHeight="true" outlineLevel="0" collapsed="false">
      <c r="A8" s="1" t="n">
        <v>7</v>
      </c>
      <c r="B8" s="28" t="n">
        <v>45664</v>
      </c>
      <c r="D8" s="1" t="n">
        <v>0</v>
      </c>
      <c r="E8" s="1" t="n">
        <v>0</v>
      </c>
      <c r="F8" s="1" t="n">
        <v>0</v>
      </c>
      <c r="G8" s="14" t="n">
        <f aca="false">IF(F8&gt;0,F8*10000,IF(MOD(7,7)=0,2500,0))</f>
        <v>2500</v>
      </c>
      <c r="H8" s="1" t="n">
        <v>0</v>
      </c>
      <c r="I8" s="1" t="n">
        <v>0</v>
      </c>
      <c r="J8" s="1" t="n">
        <v>0</v>
      </c>
      <c r="K8" s="17" t="n">
        <f aca="false">K7+G8</f>
        <v>2500</v>
      </c>
    </row>
    <row r="9" customFormat="false" ht="15" hidden="false" customHeight="true" outlineLevel="0" collapsed="false">
      <c r="A9" s="1" t="n">
        <v>8</v>
      </c>
      <c r="B9" s="28" t="n">
        <v>45665</v>
      </c>
      <c r="D9" s="1" t="n">
        <v>0</v>
      </c>
      <c r="E9" s="1" t="n">
        <v>0</v>
      </c>
      <c r="F9" s="1" t="n">
        <v>0</v>
      </c>
      <c r="G9" s="14" t="n">
        <f aca="false">IF(F9&gt;0,F9*10000,IF(MOD(8,7)=0,2500,0))</f>
        <v>0</v>
      </c>
      <c r="H9" s="1" t="n">
        <v>0</v>
      </c>
      <c r="I9" s="1" t="n">
        <v>0</v>
      </c>
      <c r="J9" s="1" t="n">
        <v>0</v>
      </c>
      <c r="K9" s="17" t="n">
        <f aca="false">K8+G9</f>
        <v>2500</v>
      </c>
    </row>
    <row r="10" customFormat="false" ht="15" hidden="false" customHeight="true" outlineLevel="0" collapsed="false">
      <c r="A10" s="1" t="n">
        <v>9</v>
      </c>
      <c r="B10" s="28" t="n">
        <v>45666</v>
      </c>
      <c r="D10" s="1" t="n">
        <v>0</v>
      </c>
      <c r="E10" s="1" t="n">
        <v>0</v>
      </c>
      <c r="F10" s="1" t="n">
        <v>0</v>
      </c>
      <c r="G10" s="14" t="n">
        <f aca="false">IF(F10&gt;0,F10*10000,IF(MOD(9,7)=0,2500,0))</f>
        <v>0</v>
      </c>
      <c r="H10" s="1" t="n">
        <v>0</v>
      </c>
      <c r="I10" s="1" t="n">
        <v>0</v>
      </c>
      <c r="J10" s="1" t="n">
        <v>0</v>
      </c>
      <c r="K10" s="17" t="n">
        <f aca="false">K9+G10</f>
        <v>2500</v>
      </c>
    </row>
    <row r="11" customFormat="false" ht="15" hidden="false" customHeight="true" outlineLevel="0" collapsed="false">
      <c r="A11" s="1" t="n">
        <v>10</v>
      </c>
      <c r="B11" s="28" t="n">
        <v>45667</v>
      </c>
      <c r="D11" s="1" t="n">
        <v>0</v>
      </c>
      <c r="E11" s="1" t="n">
        <v>0</v>
      </c>
      <c r="F11" s="1" t="n">
        <v>0</v>
      </c>
      <c r="G11" s="14" t="n">
        <f aca="false">IF(F11&gt;0,F11*10000,IF(MOD(10,7)=0,2500,0))</f>
        <v>0</v>
      </c>
      <c r="H11" s="1" t="n">
        <v>0</v>
      </c>
      <c r="I11" s="1" t="n">
        <v>0</v>
      </c>
      <c r="J11" s="1" t="n">
        <v>0</v>
      </c>
      <c r="K11" s="17" t="n">
        <f aca="false">K10+G11</f>
        <v>2500</v>
      </c>
    </row>
    <row r="12" customFormat="false" ht="15" hidden="false" customHeight="true" outlineLevel="0" collapsed="false">
      <c r="A12" s="1" t="n">
        <v>11</v>
      </c>
      <c r="B12" s="28" t="n">
        <v>45668</v>
      </c>
      <c r="D12" s="1" t="n">
        <v>0</v>
      </c>
      <c r="E12" s="1" t="n">
        <v>0</v>
      </c>
      <c r="F12" s="1" t="n">
        <v>0</v>
      </c>
      <c r="G12" s="14" t="n">
        <f aca="false">IF(F12&gt;0,F12*10000,IF(MOD(11,7)=0,2500,0))</f>
        <v>0</v>
      </c>
      <c r="H12" s="1" t="n">
        <v>0</v>
      </c>
      <c r="I12" s="1" t="n">
        <v>0</v>
      </c>
      <c r="J12" s="1" t="n">
        <v>0</v>
      </c>
      <c r="K12" s="17" t="n">
        <f aca="false">K11+G12</f>
        <v>2500</v>
      </c>
    </row>
    <row r="13" customFormat="false" ht="15" hidden="false" customHeight="true" outlineLevel="0" collapsed="false">
      <c r="A13" s="1" t="n">
        <v>12</v>
      </c>
      <c r="B13" s="28" t="n">
        <v>45669</v>
      </c>
      <c r="D13" s="1" t="n">
        <v>0</v>
      </c>
      <c r="E13" s="1" t="n">
        <v>0</v>
      </c>
      <c r="F13" s="1" t="n">
        <v>0</v>
      </c>
      <c r="G13" s="14" t="n">
        <f aca="false">IF(F13&gt;0,F13*10000,IF(MOD(12,7)=0,2500,0))</f>
        <v>0</v>
      </c>
      <c r="H13" s="1" t="n">
        <v>0</v>
      </c>
      <c r="I13" s="1" t="n">
        <v>0</v>
      </c>
      <c r="J13" s="1" t="n">
        <v>0</v>
      </c>
      <c r="K13" s="17" t="n">
        <f aca="false">K12+G13</f>
        <v>2500</v>
      </c>
    </row>
    <row r="14" customFormat="false" ht="15" hidden="false" customHeight="true" outlineLevel="0" collapsed="false">
      <c r="A14" s="1" t="n">
        <v>13</v>
      </c>
      <c r="B14" s="28" t="n">
        <v>45670</v>
      </c>
      <c r="D14" s="1" t="n">
        <v>0</v>
      </c>
      <c r="E14" s="1" t="n">
        <v>0</v>
      </c>
      <c r="F14" s="1" t="n">
        <v>0</v>
      </c>
      <c r="G14" s="14" t="n">
        <f aca="false">IF(F14&gt;0,F14*10000,IF(MOD(13,7)=0,2500,0))</f>
        <v>0</v>
      </c>
      <c r="H14" s="1" t="n">
        <v>0</v>
      </c>
      <c r="I14" s="1" t="n">
        <v>0</v>
      </c>
      <c r="J14" s="1" t="n">
        <v>0</v>
      </c>
      <c r="K14" s="17" t="n">
        <f aca="false">K13+G14</f>
        <v>2500</v>
      </c>
    </row>
    <row r="15" customFormat="false" ht="15" hidden="false" customHeight="true" outlineLevel="0" collapsed="false">
      <c r="A15" s="1" t="n">
        <v>14</v>
      </c>
      <c r="B15" s="28" t="n">
        <v>45671</v>
      </c>
      <c r="D15" s="1" t="n">
        <v>0</v>
      </c>
      <c r="E15" s="1" t="n">
        <v>0</v>
      </c>
      <c r="F15" s="1" t="n">
        <v>0</v>
      </c>
      <c r="G15" s="14" t="n">
        <f aca="false">IF(F15&gt;0,F15*10000,IF(MOD(14,7)=0,2500,0))</f>
        <v>2500</v>
      </c>
      <c r="H15" s="1" t="n">
        <v>0</v>
      </c>
      <c r="I15" s="1" t="n">
        <v>0</v>
      </c>
      <c r="J15" s="1" t="n">
        <v>0</v>
      </c>
      <c r="K15" s="17" t="n">
        <f aca="false">K14+G15</f>
        <v>5000</v>
      </c>
    </row>
    <row r="16" customFormat="false" ht="15" hidden="false" customHeight="true" outlineLevel="0" collapsed="false">
      <c r="A16" s="1" t="n">
        <v>15</v>
      </c>
      <c r="B16" s="28" t="n">
        <v>45672</v>
      </c>
      <c r="D16" s="1" t="n">
        <v>0</v>
      </c>
      <c r="E16" s="1" t="n">
        <v>0</v>
      </c>
      <c r="F16" s="1" t="n">
        <v>0</v>
      </c>
      <c r="G16" s="14" t="n">
        <f aca="false">IF(F16&gt;0,F16*10000,IF(MOD(15,7)=0,2500,0))</f>
        <v>0</v>
      </c>
      <c r="H16" s="1" t="n">
        <v>0</v>
      </c>
      <c r="I16" s="1" t="n">
        <v>0</v>
      </c>
      <c r="J16" s="1" t="n">
        <v>0</v>
      </c>
      <c r="K16" s="17" t="n">
        <f aca="false">K15+G16</f>
        <v>5000</v>
      </c>
    </row>
    <row r="17" customFormat="false" ht="15" hidden="false" customHeight="true" outlineLevel="0" collapsed="false">
      <c r="A17" s="1" t="n">
        <v>16</v>
      </c>
      <c r="B17" s="28" t="n">
        <v>45673</v>
      </c>
      <c r="D17" s="1" t="n">
        <v>0</v>
      </c>
      <c r="E17" s="1" t="n">
        <v>0</v>
      </c>
      <c r="F17" s="1" t="n">
        <v>0</v>
      </c>
      <c r="G17" s="14" t="n">
        <f aca="false">IF(F17&gt;0,F17*10000,IF(MOD(16,7)=0,2500,0))</f>
        <v>0</v>
      </c>
      <c r="H17" s="1" t="n">
        <v>0</v>
      </c>
      <c r="I17" s="1" t="n">
        <v>0</v>
      </c>
      <c r="J17" s="1" t="n">
        <v>0</v>
      </c>
      <c r="K17" s="17" t="n">
        <f aca="false">K16+G17</f>
        <v>5000</v>
      </c>
    </row>
    <row r="18" customFormat="false" ht="15" hidden="false" customHeight="true" outlineLevel="0" collapsed="false">
      <c r="A18" s="1" t="n">
        <v>17</v>
      </c>
      <c r="B18" s="28" t="n">
        <v>45674</v>
      </c>
      <c r="D18" s="1" t="n">
        <v>0</v>
      </c>
      <c r="E18" s="1" t="n">
        <v>0</v>
      </c>
      <c r="F18" s="1" t="n">
        <v>0</v>
      </c>
      <c r="G18" s="14" t="n">
        <f aca="false">IF(F18&gt;0,F18*10000,IF(MOD(17,7)=0,2500,0))</f>
        <v>0</v>
      </c>
      <c r="H18" s="1" t="n">
        <v>0</v>
      </c>
      <c r="I18" s="1" t="n">
        <v>0</v>
      </c>
      <c r="J18" s="1" t="n">
        <v>0</v>
      </c>
      <c r="K18" s="17" t="n">
        <f aca="false">K17+G18</f>
        <v>5000</v>
      </c>
    </row>
    <row r="19" customFormat="false" ht="15" hidden="false" customHeight="true" outlineLevel="0" collapsed="false">
      <c r="A19" s="1" t="n">
        <v>18</v>
      </c>
      <c r="B19" s="28" t="n">
        <v>45675</v>
      </c>
      <c r="D19" s="1" t="n">
        <v>0</v>
      </c>
      <c r="E19" s="1" t="n">
        <v>0</v>
      </c>
      <c r="F19" s="1" t="n">
        <v>0</v>
      </c>
      <c r="G19" s="14" t="n">
        <f aca="false">IF(F19&gt;0,F19*10000,IF(MOD(18,7)=0,2500,0))</f>
        <v>0</v>
      </c>
      <c r="H19" s="1" t="n">
        <v>0</v>
      </c>
      <c r="I19" s="1" t="n">
        <v>0</v>
      </c>
      <c r="J19" s="1" t="n">
        <v>0</v>
      </c>
      <c r="K19" s="17" t="n">
        <f aca="false">K18+G19</f>
        <v>5000</v>
      </c>
    </row>
    <row r="20" customFormat="false" ht="15" hidden="false" customHeight="true" outlineLevel="0" collapsed="false">
      <c r="A20" s="1" t="n">
        <v>19</v>
      </c>
      <c r="B20" s="28" t="n">
        <v>45676</v>
      </c>
      <c r="D20" s="1" t="n">
        <v>0</v>
      </c>
      <c r="E20" s="1" t="n">
        <v>0</v>
      </c>
      <c r="F20" s="1" t="n">
        <v>0</v>
      </c>
      <c r="G20" s="14" t="n">
        <f aca="false">IF(F20&gt;0,F20*10000,IF(MOD(19,7)=0,2500,0))</f>
        <v>0</v>
      </c>
      <c r="H20" s="1" t="n">
        <v>0</v>
      </c>
      <c r="I20" s="1" t="n">
        <v>0</v>
      </c>
      <c r="J20" s="1" t="n">
        <v>0</v>
      </c>
      <c r="K20" s="17" t="n">
        <f aca="false">K19+G20</f>
        <v>5000</v>
      </c>
    </row>
    <row r="21" customFormat="false" ht="15" hidden="false" customHeight="true" outlineLevel="0" collapsed="false">
      <c r="A21" s="1" t="n">
        <v>20</v>
      </c>
      <c r="B21" s="28" t="n">
        <v>45677</v>
      </c>
      <c r="D21" s="1" t="n">
        <v>0</v>
      </c>
      <c r="E21" s="1" t="n">
        <v>0</v>
      </c>
      <c r="F21" s="1" t="n">
        <v>0</v>
      </c>
      <c r="G21" s="14" t="n">
        <f aca="false">IF(F21&gt;0,F21*10000,IF(MOD(20,7)=0,2500,0))</f>
        <v>0</v>
      </c>
      <c r="H21" s="1" t="n">
        <v>0</v>
      </c>
      <c r="I21" s="1" t="n">
        <v>0</v>
      </c>
      <c r="J21" s="1" t="n">
        <v>0</v>
      </c>
      <c r="K21" s="17" t="n">
        <f aca="false">K20+G21</f>
        <v>5000</v>
      </c>
    </row>
    <row r="22" customFormat="false" ht="15" hidden="false" customHeight="true" outlineLevel="0" collapsed="false">
      <c r="A22" s="1" t="n">
        <v>21</v>
      </c>
      <c r="B22" s="28" t="n">
        <v>45678</v>
      </c>
      <c r="D22" s="1" t="n">
        <v>0</v>
      </c>
      <c r="E22" s="1" t="n">
        <v>0</v>
      </c>
      <c r="F22" s="1" t="n">
        <v>0</v>
      </c>
      <c r="G22" s="14" t="n">
        <f aca="false">IF(F22&gt;0,F22*10000,IF(MOD(21,7)=0,2500,0))</f>
        <v>2500</v>
      </c>
      <c r="H22" s="1" t="n">
        <v>0</v>
      </c>
      <c r="I22" s="1" t="n">
        <v>0</v>
      </c>
      <c r="J22" s="1" t="n">
        <v>0</v>
      </c>
      <c r="K22" s="17" t="n">
        <f aca="false">K21+G22</f>
        <v>7500</v>
      </c>
    </row>
    <row r="23" customFormat="false" ht="15" hidden="false" customHeight="true" outlineLevel="0" collapsed="false">
      <c r="A23" s="1" t="n">
        <v>22</v>
      </c>
      <c r="B23" s="28" t="n">
        <v>45679</v>
      </c>
      <c r="D23" s="1" t="n">
        <v>0</v>
      </c>
      <c r="E23" s="1" t="n">
        <v>0</v>
      </c>
      <c r="F23" s="1" t="n">
        <v>0</v>
      </c>
      <c r="G23" s="14" t="n">
        <f aca="false">IF(F23&gt;0,F23*10000,IF(MOD(22,7)=0,2500,0))</f>
        <v>0</v>
      </c>
      <c r="H23" s="1" t="n">
        <v>0</v>
      </c>
      <c r="I23" s="1" t="n">
        <v>0</v>
      </c>
      <c r="J23" s="1" t="n">
        <v>0</v>
      </c>
      <c r="K23" s="17" t="n">
        <f aca="false">K22+G23</f>
        <v>7500</v>
      </c>
    </row>
    <row r="24" customFormat="false" ht="15" hidden="false" customHeight="true" outlineLevel="0" collapsed="false">
      <c r="A24" s="1" t="n">
        <v>23</v>
      </c>
      <c r="B24" s="28" t="n">
        <v>45680</v>
      </c>
      <c r="D24" s="1" t="n">
        <v>0</v>
      </c>
      <c r="E24" s="1" t="n">
        <v>0</v>
      </c>
      <c r="F24" s="1" t="n">
        <v>0</v>
      </c>
      <c r="G24" s="14" t="n">
        <f aca="false">IF(F24&gt;0,F24*10000,IF(MOD(23,7)=0,2500,0))</f>
        <v>0</v>
      </c>
      <c r="H24" s="1" t="n">
        <v>0</v>
      </c>
      <c r="I24" s="1" t="n">
        <v>0</v>
      </c>
      <c r="J24" s="1" t="n">
        <v>0</v>
      </c>
      <c r="K24" s="17" t="n">
        <f aca="false">K23+G24</f>
        <v>7500</v>
      </c>
    </row>
    <row r="25" customFormat="false" ht="15" hidden="false" customHeight="true" outlineLevel="0" collapsed="false">
      <c r="A25" s="1" t="n">
        <v>24</v>
      </c>
      <c r="B25" s="28" t="n">
        <v>45681</v>
      </c>
      <c r="D25" s="1" t="n">
        <v>0</v>
      </c>
      <c r="E25" s="1" t="n">
        <v>0</v>
      </c>
      <c r="F25" s="1" t="n">
        <v>0</v>
      </c>
      <c r="G25" s="14" t="n">
        <f aca="false">IF(F25&gt;0,F25*10000,IF(MOD(24,7)=0,2500,0))</f>
        <v>0</v>
      </c>
      <c r="H25" s="1" t="n">
        <v>0</v>
      </c>
      <c r="I25" s="1" t="n">
        <v>0</v>
      </c>
      <c r="J25" s="1" t="n">
        <v>0</v>
      </c>
      <c r="K25" s="17" t="n">
        <f aca="false">K24+G25</f>
        <v>7500</v>
      </c>
    </row>
    <row r="26" customFormat="false" ht="15" hidden="false" customHeight="true" outlineLevel="0" collapsed="false">
      <c r="A26" s="1" t="n">
        <v>25</v>
      </c>
      <c r="B26" s="28" t="n">
        <v>45682</v>
      </c>
      <c r="D26" s="1" t="n">
        <v>0</v>
      </c>
      <c r="E26" s="1" t="n">
        <v>0</v>
      </c>
      <c r="F26" s="1" t="n">
        <v>0</v>
      </c>
      <c r="G26" s="14" t="n">
        <f aca="false">IF(F26&gt;0,F26*10000,IF(MOD(25,7)=0,2500,0))</f>
        <v>0</v>
      </c>
      <c r="H26" s="1" t="n">
        <v>0</v>
      </c>
      <c r="I26" s="1" t="n">
        <v>0</v>
      </c>
      <c r="J26" s="1" t="n">
        <v>0</v>
      </c>
      <c r="K26" s="17" t="n">
        <f aca="false">K25+G26</f>
        <v>7500</v>
      </c>
    </row>
    <row r="27" customFormat="false" ht="15" hidden="false" customHeight="true" outlineLevel="0" collapsed="false">
      <c r="A27" s="1" t="n">
        <v>26</v>
      </c>
      <c r="B27" s="28" t="n">
        <v>45683</v>
      </c>
      <c r="D27" s="1" t="n">
        <v>0</v>
      </c>
      <c r="E27" s="1" t="n">
        <v>0</v>
      </c>
      <c r="F27" s="1" t="n">
        <v>0</v>
      </c>
      <c r="G27" s="14" t="n">
        <f aca="false">IF(F27&gt;0,F27*10000,IF(MOD(26,7)=0,2500,0))</f>
        <v>0</v>
      </c>
      <c r="H27" s="1" t="n">
        <v>0</v>
      </c>
      <c r="I27" s="1" t="n">
        <v>0</v>
      </c>
      <c r="J27" s="1" t="n">
        <v>0</v>
      </c>
      <c r="K27" s="17" t="n">
        <f aca="false">K26+G27</f>
        <v>7500</v>
      </c>
    </row>
    <row r="28" customFormat="false" ht="15" hidden="false" customHeight="true" outlineLevel="0" collapsed="false">
      <c r="A28" s="1" t="n">
        <v>27</v>
      </c>
      <c r="B28" s="28" t="n">
        <v>45684</v>
      </c>
      <c r="D28" s="1" t="n">
        <v>0</v>
      </c>
      <c r="E28" s="1" t="n">
        <v>0</v>
      </c>
      <c r="F28" s="1" t="n">
        <v>0</v>
      </c>
      <c r="G28" s="14" t="n">
        <f aca="false">IF(F28&gt;0,F28*10000,IF(MOD(27,7)=0,2500,0))</f>
        <v>0</v>
      </c>
      <c r="H28" s="1" t="n">
        <v>0</v>
      </c>
      <c r="I28" s="1" t="n">
        <v>0</v>
      </c>
      <c r="J28" s="1" t="n">
        <v>0</v>
      </c>
      <c r="K28" s="17" t="n">
        <f aca="false">K27+G28</f>
        <v>7500</v>
      </c>
    </row>
    <row r="29" customFormat="false" ht="15" hidden="false" customHeight="true" outlineLevel="0" collapsed="false">
      <c r="A29" s="1" t="n">
        <v>28</v>
      </c>
      <c r="B29" s="28" t="n">
        <v>45685</v>
      </c>
      <c r="D29" s="1" t="n">
        <v>0</v>
      </c>
      <c r="E29" s="1" t="n">
        <v>0</v>
      </c>
      <c r="F29" s="1" t="n">
        <v>0</v>
      </c>
      <c r="G29" s="14" t="n">
        <f aca="false">IF(F29&gt;0,F29*10000,IF(MOD(28,7)=0,2500,0))</f>
        <v>2500</v>
      </c>
      <c r="H29" s="1" t="n">
        <v>0</v>
      </c>
      <c r="I29" s="1" t="n">
        <v>0</v>
      </c>
      <c r="J29" s="1" t="n">
        <v>0</v>
      </c>
      <c r="K29" s="17" t="n">
        <f aca="false">K28+G29</f>
        <v>10000</v>
      </c>
    </row>
    <row r="30" customFormat="false" ht="15" hidden="false" customHeight="true" outlineLevel="0" collapsed="false">
      <c r="A30" s="1" t="n">
        <v>29</v>
      </c>
      <c r="B30" s="28" t="n">
        <v>45686</v>
      </c>
      <c r="D30" s="1" t="n">
        <v>0</v>
      </c>
      <c r="E30" s="1" t="n">
        <v>0</v>
      </c>
      <c r="F30" s="1" t="n">
        <v>0</v>
      </c>
      <c r="G30" s="14" t="n">
        <f aca="false">IF(F30&gt;0,F30*10000,IF(MOD(29,7)=0,2500,0))</f>
        <v>0</v>
      </c>
      <c r="H30" s="1" t="n">
        <v>0</v>
      </c>
      <c r="I30" s="1" t="n">
        <v>0</v>
      </c>
      <c r="J30" s="1" t="n">
        <v>0</v>
      </c>
      <c r="K30" s="17" t="n">
        <f aca="false">K29+G30</f>
        <v>10000</v>
      </c>
    </row>
    <row r="31" customFormat="false" ht="15" hidden="false" customHeight="true" outlineLevel="0" collapsed="false">
      <c r="A31" s="1" t="n">
        <v>30</v>
      </c>
      <c r="B31" s="28" t="n">
        <v>45687</v>
      </c>
      <c r="D31" s="1" t="n">
        <v>0</v>
      </c>
      <c r="E31" s="1" t="n">
        <v>0</v>
      </c>
      <c r="F31" s="1" t="n">
        <v>0</v>
      </c>
      <c r="G31" s="14" t="n">
        <f aca="false">IF(F31&gt;0,F31*10000,IF(MOD(30,7)=0,2500,0))</f>
        <v>0</v>
      </c>
      <c r="H31" s="1" t="n">
        <v>0</v>
      </c>
      <c r="I31" s="1" t="n">
        <v>0</v>
      </c>
      <c r="J31" s="1" t="n">
        <v>0</v>
      </c>
      <c r="K31" s="17" t="n">
        <f aca="false">K30+G31</f>
        <v>10000</v>
      </c>
    </row>
    <row r="32" customFormat="false" ht="15" hidden="false" customHeight="true" outlineLevel="0" collapsed="false">
      <c r="A32" s="1" t="n">
        <v>31</v>
      </c>
      <c r="B32" s="28" t="n">
        <v>45688</v>
      </c>
      <c r="D32" s="1" t="n">
        <v>0</v>
      </c>
      <c r="E32" s="1" t="n">
        <v>0</v>
      </c>
      <c r="F32" s="1" t="n">
        <v>0</v>
      </c>
      <c r="G32" s="14" t="n">
        <f aca="false">IF(F32&gt;0,F32*10000,IF(MOD(31,7)=0,2500,0))</f>
        <v>0</v>
      </c>
      <c r="H32" s="1" t="n">
        <v>0</v>
      </c>
      <c r="I32" s="1" t="n">
        <v>0</v>
      </c>
      <c r="J32" s="1" t="n">
        <v>0</v>
      </c>
      <c r="K32" s="17" t="n">
        <f aca="false">K31+G32</f>
        <v>10000</v>
      </c>
    </row>
    <row r="33" customFormat="false" ht="15" hidden="false" customHeight="true" outlineLevel="0" collapsed="false">
      <c r="A33" s="1" t="n">
        <v>32</v>
      </c>
      <c r="B33" s="28" t="n">
        <v>45689</v>
      </c>
      <c r="D33" s="1" t="n">
        <v>0</v>
      </c>
      <c r="E33" s="1" t="n">
        <v>0</v>
      </c>
      <c r="F33" s="1" t="n">
        <v>0</v>
      </c>
      <c r="G33" s="14" t="n">
        <f aca="false">IF(F33&gt;0,F33*10000,IF(MOD(32,7)=0,2500,0))</f>
        <v>0</v>
      </c>
      <c r="H33" s="1" t="n">
        <v>0</v>
      </c>
      <c r="I33" s="1" t="n">
        <v>0</v>
      </c>
      <c r="J33" s="1" t="n">
        <v>0</v>
      </c>
      <c r="K33" s="17" t="n">
        <f aca="false">K32+G33</f>
        <v>10000</v>
      </c>
    </row>
    <row r="34" customFormat="false" ht="15" hidden="false" customHeight="true" outlineLevel="0" collapsed="false">
      <c r="A34" s="1" t="n">
        <v>33</v>
      </c>
      <c r="B34" s="28" t="n">
        <v>45690</v>
      </c>
      <c r="D34" s="1" t="n">
        <v>0</v>
      </c>
      <c r="E34" s="1" t="n">
        <v>0</v>
      </c>
      <c r="F34" s="1" t="n">
        <v>0</v>
      </c>
      <c r="G34" s="14" t="n">
        <f aca="false">IF(F34&gt;0,F34*10000,IF(MOD(33,7)=0,2500,0))</f>
        <v>0</v>
      </c>
      <c r="H34" s="1" t="n">
        <v>0</v>
      </c>
      <c r="I34" s="1" t="n">
        <v>0</v>
      </c>
      <c r="J34" s="1" t="n">
        <v>0</v>
      </c>
      <c r="K34" s="17" t="n">
        <f aca="false">K33+G34</f>
        <v>10000</v>
      </c>
    </row>
    <row r="35" customFormat="false" ht="15" hidden="false" customHeight="true" outlineLevel="0" collapsed="false">
      <c r="A35" s="1" t="n">
        <v>34</v>
      </c>
      <c r="B35" s="28" t="n">
        <v>45691</v>
      </c>
      <c r="D35" s="1" t="n">
        <v>0</v>
      </c>
      <c r="E35" s="1" t="n">
        <v>0</v>
      </c>
      <c r="F35" s="1" t="n">
        <v>0</v>
      </c>
      <c r="G35" s="14" t="n">
        <f aca="false">IF(F35&gt;0,F35*10000,IF(MOD(34,7)=0,2500,0))</f>
        <v>0</v>
      </c>
      <c r="H35" s="1" t="n">
        <v>0</v>
      </c>
      <c r="I35" s="1" t="n">
        <v>0</v>
      </c>
      <c r="J35" s="1" t="n">
        <v>0</v>
      </c>
      <c r="K35" s="17" t="n">
        <f aca="false">K34+G35</f>
        <v>10000</v>
      </c>
    </row>
    <row r="36" customFormat="false" ht="15" hidden="false" customHeight="true" outlineLevel="0" collapsed="false">
      <c r="A36" s="1" t="n">
        <v>35</v>
      </c>
      <c r="B36" s="28" t="n">
        <v>45692</v>
      </c>
      <c r="D36" s="1" t="n">
        <v>0</v>
      </c>
      <c r="E36" s="1" t="n">
        <v>0</v>
      </c>
      <c r="F36" s="1" t="n">
        <v>0</v>
      </c>
      <c r="G36" s="14" t="n">
        <f aca="false">IF(F36&gt;0,F36*10000,IF(MOD(35,7)=0,2500,0))</f>
        <v>2500</v>
      </c>
      <c r="H36" s="1" t="n">
        <v>0</v>
      </c>
      <c r="I36" s="1" t="n">
        <v>0</v>
      </c>
      <c r="J36" s="1" t="n">
        <v>0</v>
      </c>
      <c r="K36" s="17" t="n">
        <f aca="false">K35+G36</f>
        <v>12500</v>
      </c>
    </row>
    <row r="37" customFormat="false" ht="15" hidden="false" customHeight="true" outlineLevel="0" collapsed="false">
      <c r="A37" s="1" t="n">
        <v>36</v>
      </c>
      <c r="B37" s="28" t="n">
        <v>45693</v>
      </c>
      <c r="D37" s="1" t="n">
        <v>0</v>
      </c>
      <c r="E37" s="1" t="n">
        <v>0</v>
      </c>
      <c r="F37" s="1" t="n">
        <v>0</v>
      </c>
      <c r="G37" s="14" t="n">
        <f aca="false">IF(F37&gt;0,F37*10000,IF(MOD(36,7)=0,2500,0))</f>
        <v>0</v>
      </c>
      <c r="H37" s="1" t="n">
        <v>0</v>
      </c>
      <c r="I37" s="1" t="n">
        <v>0</v>
      </c>
      <c r="J37" s="1" t="n">
        <v>0</v>
      </c>
      <c r="K37" s="17" t="n">
        <f aca="false">K36+G37</f>
        <v>12500</v>
      </c>
    </row>
    <row r="38" customFormat="false" ht="15" hidden="false" customHeight="true" outlineLevel="0" collapsed="false">
      <c r="A38" s="1" t="n">
        <v>37</v>
      </c>
      <c r="B38" s="28" t="n">
        <v>45694</v>
      </c>
      <c r="D38" s="1" t="n">
        <v>0</v>
      </c>
      <c r="E38" s="1" t="n">
        <v>0</v>
      </c>
      <c r="F38" s="1" t="n">
        <v>0</v>
      </c>
      <c r="G38" s="14" t="n">
        <f aca="false">IF(F38&gt;0,F38*10000,IF(MOD(37,7)=0,2500,0))</f>
        <v>0</v>
      </c>
      <c r="H38" s="1" t="n">
        <v>0</v>
      </c>
      <c r="I38" s="1" t="n">
        <v>0</v>
      </c>
      <c r="J38" s="1" t="n">
        <v>0</v>
      </c>
      <c r="K38" s="17" t="n">
        <f aca="false">K37+G38</f>
        <v>12500</v>
      </c>
    </row>
    <row r="39" customFormat="false" ht="15" hidden="false" customHeight="true" outlineLevel="0" collapsed="false">
      <c r="A39" s="1" t="n">
        <v>38</v>
      </c>
      <c r="B39" s="28" t="n">
        <v>45695</v>
      </c>
      <c r="D39" s="1" t="n">
        <v>0</v>
      </c>
      <c r="E39" s="1" t="n">
        <v>0</v>
      </c>
      <c r="F39" s="1" t="n">
        <v>0</v>
      </c>
      <c r="G39" s="14" t="n">
        <f aca="false">IF(F39&gt;0,F39*10000,IF(MOD(38,7)=0,2500,0))</f>
        <v>0</v>
      </c>
      <c r="H39" s="1" t="n">
        <v>0</v>
      </c>
      <c r="I39" s="1" t="n">
        <v>0</v>
      </c>
      <c r="J39" s="1" t="n">
        <v>0</v>
      </c>
      <c r="K39" s="17" t="n">
        <f aca="false">K38+G39</f>
        <v>12500</v>
      </c>
    </row>
    <row r="40" customFormat="false" ht="15" hidden="false" customHeight="true" outlineLevel="0" collapsed="false">
      <c r="A40" s="1" t="n">
        <v>39</v>
      </c>
      <c r="B40" s="28" t="n">
        <v>45696</v>
      </c>
      <c r="D40" s="1" t="n">
        <v>0</v>
      </c>
      <c r="E40" s="1" t="n">
        <v>0</v>
      </c>
      <c r="F40" s="1" t="n">
        <v>0</v>
      </c>
      <c r="G40" s="14" t="n">
        <f aca="false">IF(F40&gt;0,F40*10000,IF(MOD(39,7)=0,2500,0))</f>
        <v>0</v>
      </c>
      <c r="H40" s="1" t="n">
        <v>0</v>
      </c>
      <c r="I40" s="1" t="n">
        <v>0</v>
      </c>
      <c r="J40" s="1" t="n">
        <v>0</v>
      </c>
      <c r="K40" s="17" t="n">
        <f aca="false">K39+G40</f>
        <v>12500</v>
      </c>
    </row>
    <row r="41" customFormat="false" ht="15" hidden="false" customHeight="true" outlineLevel="0" collapsed="false">
      <c r="A41" s="1" t="n">
        <v>40</v>
      </c>
      <c r="B41" s="28" t="n">
        <v>45697</v>
      </c>
      <c r="D41" s="1" t="n">
        <v>0</v>
      </c>
      <c r="E41" s="1" t="n">
        <v>0</v>
      </c>
      <c r="F41" s="1" t="n">
        <v>0</v>
      </c>
      <c r="G41" s="14" t="n">
        <f aca="false">IF(F41&gt;0,F41*10000,IF(MOD(40,7)=0,2500,0))</f>
        <v>0</v>
      </c>
      <c r="H41" s="1" t="n">
        <v>0</v>
      </c>
      <c r="I41" s="1" t="n">
        <v>0</v>
      </c>
      <c r="J41" s="1" t="n">
        <v>0</v>
      </c>
      <c r="K41" s="17" t="n">
        <f aca="false">K40+G41</f>
        <v>12500</v>
      </c>
    </row>
    <row r="42" customFormat="false" ht="15" hidden="false" customHeight="true" outlineLevel="0" collapsed="false">
      <c r="A42" s="1" t="n">
        <v>41</v>
      </c>
      <c r="B42" s="28" t="n">
        <v>45698</v>
      </c>
      <c r="D42" s="1" t="n">
        <v>0</v>
      </c>
      <c r="E42" s="1" t="n">
        <v>0</v>
      </c>
      <c r="F42" s="1" t="n">
        <v>0</v>
      </c>
      <c r="G42" s="14" t="n">
        <f aca="false">IF(F42&gt;0,F42*10000,IF(MOD(41,7)=0,2500,0))</f>
        <v>0</v>
      </c>
      <c r="H42" s="1" t="n">
        <v>0</v>
      </c>
      <c r="I42" s="1" t="n">
        <v>0</v>
      </c>
      <c r="J42" s="1" t="n">
        <v>0</v>
      </c>
      <c r="K42" s="17" t="n">
        <f aca="false">K41+G42</f>
        <v>12500</v>
      </c>
    </row>
    <row r="43" customFormat="false" ht="15" hidden="false" customHeight="true" outlineLevel="0" collapsed="false">
      <c r="A43" s="1" t="n">
        <v>42</v>
      </c>
      <c r="B43" s="28" t="n">
        <v>45699</v>
      </c>
      <c r="D43" s="1" t="n">
        <v>0</v>
      </c>
      <c r="E43" s="1" t="n">
        <v>0</v>
      </c>
      <c r="F43" s="1" t="n">
        <v>0</v>
      </c>
      <c r="G43" s="14" t="n">
        <f aca="false">IF(F43&gt;0,F43*10000,IF(MOD(42,7)=0,2500,0))</f>
        <v>2500</v>
      </c>
      <c r="H43" s="1" t="n">
        <v>0</v>
      </c>
      <c r="I43" s="1" t="n">
        <v>0</v>
      </c>
      <c r="J43" s="1" t="n">
        <v>0</v>
      </c>
      <c r="K43" s="17" t="n">
        <f aca="false">K42+G43</f>
        <v>15000</v>
      </c>
    </row>
    <row r="44" customFormat="false" ht="15" hidden="false" customHeight="true" outlineLevel="0" collapsed="false">
      <c r="A44" s="1" t="n">
        <v>43</v>
      </c>
      <c r="B44" s="28" t="n">
        <v>45700</v>
      </c>
      <c r="D44" s="1" t="n">
        <v>0</v>
      </c>
      <c r="E44" s="1" t="n">
        <v>0</v>
      </c>
      <c r="F44" s="1" t="n">
        <v>0</v>
      </c>
      <c r="G44" s="14" t="n">
        <f aca="false">IF(F44&gt;0,F44*10000,IF(MOD(43,7)=0,2500,0))</f>
        <v>0</v>
      </c>
      <c r="H44" s="1" t="n">
        <v>0</v>
      </c>
      <c r="I44" s="1" t="n">
        <v>0</v>
      </c>
      <c r="J44" s="1" t="n">
        <v>0</v>
      </c>
      <c r="K44" s="17" t="n">
        <f aca="false">K43+G44</f>
        <v>15000</v>
      </c>
    </row>
    <row r="45" customFormat="false" ht="15" hidden="false" customHeight="true" outlineLevel="0" collapsed="false">
      <c r="A45" s="1" t="n">
        <v>44</v>
      </c>
      <c r="B45" s="28" t="n">
        <v>45701</v>
      </c>
      <c r="D45" s="1" t="n">
        <v>0</v>
      </c>
      <c r="E45" s="1" t="n">
        <v>0</v>
      </c>
      <c r="F45" s="1" t="n">
        <v>0</v>
      </c>
      <c r="G45" s="14" t="n">
        <f aca="false">IF(F45&gt;0,F45*10000,IF(MOD(44,7)=0,2500,0))</f>
        <v>0</v>
      </c>
      <c r="H45" s="1" t="n">
        <v>0</v>
      </c>
      <c r="I45" s="1" t="n">
        <v>0</v>
      </c>
      <c r="J45" s="1" t="n">
        <v>0</v>
      </c>
      <c r="K45" s="17" t="n">
        <f aca="false">K44+G45</f>
        <v>15000</v>
      </c>
    </row>
    <row r="46" customFormat="false" ht="15" hidden="false" customHeight="true" outlineLevel="0" collapsed="false">
      <c r="A46" s="1" t="n">
        <v>45</v>
      </c>
      <c r="B46" s="28" t="n">
        <v>45702</v>
      </c>
      <c r="D46" s="1" t="n">
        <v>0</v>
      </c>
      <c r="E46" s="1" t="n">
        <v>0</v>
      </c>
      <c r="F46" s="1" t="n">
        <v>0</v>
      </c>
      <c r="G46" s="14" t="n">
        <f aca="false">IF(F46&gt;0,F46*10000,IF(MOD(45,7)=0,2500,0))</f>
        <v>0</v>
      </c>
      <c r="H46" s="1" t="n">
        <v>0</v>
      </c>
      <c r="I46" s="1" t="n">
        <v>0</v>
      </c>
      <c r="J46" s="1" t="n">
        <v>0</v>
      </c>
      <c r="K46" s="17" t="n">
        <f aca="false">K45+G46</f>
        <v>15000</v>
      </c>
    </row>
    <row r="47" customFormat="false" ht="15" hidden="false" customHeight="true" outlineLevel="0" collapsed="false">
      <c r="A47" s="1" t="n">
        <v>46</v>
      </c>
      <c r="B47" s="28" t="n">
        <v>45703</v>
      </c>
      <c r="D47" s="1" t="n">
        <v>0</v>
      </c>
      <c r="E47" s="1" t="n">
        <v>0</v>
      </c>
      <c r="F47" s="1" t="n">
        <v>0</v>
      </c>
      <c r="G47" s="14" t="n">
        <f aca="false">IF(F47&gt;0,F47*10000,IF(MOD(46,7)=0,2500,0))</f>
        <v>0</v>
      </c>
      <c r="H47" s="1" t="n">
        <v>0</v>
      </c>
      <c r="I47" s="1" t="n">
        <v>0</v>
      </c>
      <c r="J47" s="1" t="n">
        <v>0</v>
      </c>
      <c r="K47" s="17" t="n">
        <f aca="false">K46+G47</f>
        <v>15000</v>
      </c>
    </row>
    <row r="48" customFormat="false" ht="15" hidden="false" customHeight="true" outlineLevel="0" collapsed="false">
      <c r="A48" s="1" t="n">
        <v>47</v>
      </c>
      <c r="B48" s="28" t="n">
        <v>45704</v>
      </c>
      <c r="D48" s="1" t="n">
        <v>0</v>
      </c>
      <c r="E48" s="1" t="n">
        <v>0</v>
      </c>
      <c r="F48" s="1" t="n">
        <v>0</v>
      </c>
      <c r="G48" s="14" t="n">
        <f aca="false">IF(F48&gt;0,F48*10000,IF(MOD(47,7)=0,2500,0))</f>
        <v>0</v>
      </c>
      <c r="H48" s="1" t="n">
        <v>0</v>
      </c>
      <c r="I48" s="1" t="n">
        <v>0</v>
      </c>
      <c r="J48" s="1" t="n">
        <v>0</v>
      </c>
      <c r="K48" s="17" t="n">
        <f aca="false">K47+G48</f>
        <v>15000</v>
      </c>
    </row>
    <row r="49" customFormat="false" ht="15" hidden="false" customHeight="true" outlineLevel="0" collapsed="false">
      <c r="A49" s="1" t="n">
        <v>48</v>
      </c>
      <c r="B49" s="28" t="n">
        <v>45705</v>
      </c>
      <c r="D49" s="1" t="n">
        <v>0</v>
      </c>
      <c r="E49" s="1" t="n">
        <v>0</v>
      </c>
      <c r="F49" s="1" t="n">
        <v>0</v>
      </c>
      <c r="G49" s="14" t="n">
        <f aca="false">IF(F49&gt;0,F49*10000,IF(MOD(48,7)=0,2500,0))</f>
        <v>0</v>
      </c>
      <c r="H49" s="1" t="n">
        <v>0</v>
      </c>
      <c r="I49" s="1" t="n">
        <v>0</v>
      </c>
      <c r="J49" s="1" t="n">
        <v>0</v>
      </c>
      <c r="K49" s="17" t="n">
        <f aca="false">K48+G49</f>
        <v>15000</v>
      </c>
    </row>
    <row r="50" customFormat="false" ht="15" hidden="false" customHeight="true" outlineLevel="0" collapsed="false">
      <c r="A50" s="1" t="n">
        <v>49</v>
      </c>
      <c r="B50" s="28" t="n">
        <v>45706</v>
      </c>
      <c r="D50" s="1" t="n">
        <v>0</v>
      </c>
      <c r="E50" s="1" t="n">
        <v>0</v>
      </c>
      <c r="F50" s="1" t="n">
        <v>0</v>
      </c>
      <c r="G50" s="14" t="n">
        <f aca="false">IF(F50&gt;0,F50*10000,IF(MOD(49,7)=0,2500,0))</f>
        <v>2500</v>
      </c>
      <c r="H50" s="1" t="n">
        <v>0</v>
      </c>
      <c r="I50" s="1" t="n">
        <v>0</v>
      </c>
      <c r="J50" s="1" t="n">
        <v>0</v>
      </c>
      <c r="K50" s="17" t="n">
        <f aca="false">K49+G50</f>
        <v>17500</v>
      </c>
    </row>
    <row r="51" customFormat="false" ht="15" hidden="false" customHeight="true" outlineLevel="0" collapsed="false">
      <c r="A51" s="1" t="n">
        <v>50</v>
      </c>
      <c r="B51" s="28" t="n">
        <v>45707</v>
      </c>
      <c r="D51" s="1" t="n">
        <v>0</v>
      </c>
      <c r="E51" s="1" t="n">
        <v>0</v>
      </c>
      <c r="F51" s="1" t="n">
        <v>0</v>
      </c>
      <c r="G51" s="14" t="n">
        <f aca="false">IF(F51&gt;0,F51*10000,IF(MOD(50,7)=0,2500,0))</f>
        <v>0</v>
      </c>
      <c r="H51" s="1" t="n">
        <v>0</v>
      </c>
      <c r="I51" s="1" t="n">
        <v>0</v>
      </c>
      <c r="J51" s="1" t="n">
        <v>0</v>
      </c>
      <c r="K51" s="17" t="n">
        <f aca="false">K50+G51</f>
        <v>17500</v>
      </c>
    </row>
    <row r="52" customFormat="false" ht="15" hidden="false" customHeight="true" outlineLevel="0" collapsed="false">
      <c r="A52" s="1" t="n">
        <v>51</v>
      </c>
      <c r="B52" s="28" t="n">
        <v>45708</v>
      </c>
      <c r="D52" s="1" t="n">
        <v>0</v>
      </c>
      <c r="E52" s="1" t="n">
        <v>0</v>
      </c>
      <c r="F52" s="1" t="n">
        <v>0</v>
      </c>
      <c r="G52" s="14" t="n">
        <f aca="false">IF(F52&gt;0,F52*10000,IF(MOD(51,7)=0,2500,0))</f>
        <v>0</v>
      </c>
      <c r="H52" s="1" t="n">
        <v>0</v>
      </c>
      <c r="I52" s="1" t="n">
        <v>0</v>
      </c>
      <c r="J52" s="1" t="n">
        <v>0</v>
      </c>
      <c r="K52" s="17" t="n">
        <f aca="false">K51+G52</f>
        <v>17500</v>
      </c>
    </row>
    <row r="53" customFormat="false" ht="15" hidden="false" customHeight="true" outlineLevel="0" collapsed="false">
      <c r="A53" s="1" t="n">
        <v>52</v>
      </c>
      <c r="B53" s="28" t="n">
        <v>45709</v>
      </c>
      <c r="D53" s="1" t="n">
        <v>0</v>
      </c>
      <c r="E53" s="1" t="n">
        <v>0</v>
      </c>
      <c r="F53" s="1" t="n">
        <v>0</v>
      </c>
      <c r="G53" s="14" t="n">
        <f aca="false">IF(F53&gt;0,F53*10000,IF(MOD(52,7)=0,2500,0))</f>
        <v>0</v>
      </c>
      <c r="H53" s="1" t="n">
        <v>0</v>
      </c>
      <c r="I53" s="1" t="n">
        <v>0</v>
      </c>
      <c r="J53" s="1" t="n">
        <v>0</v>
      </c>
      <c r="K53" s="17" t="n">
        <f aca="false">K52+G53</f>
        <v>17500</v>
      </c>
    </row>
    <row r="54" customFormat="false" ht="15" hidden="false" customHeight="true" outlineLevel="0" collapsed="false">
      <c r="A54" s="1" t="n">
        <v>53</v>
      </c>
      <c r="B54" s="28" t="n">
        <v>45710</v>
      </c>
      <c r="D54" s="1" t="n">
        <v>0</v>
      </c>
      <c r="E54" s="1" t="n">
        <v>0</v>
      </c>
      <c r="F54" s="1" t="n">
        <v>0</v>
      </c>
      <c r="G54" s="14" t="n">
        <f aca="false">IF(F54&gt;0,F54*10000,IF(MOD(53,7)=0,2500,0))</f>
        <v>0</v>
      </c>
      <c r="H54" s="1" t="n">
        <v>0</v>
      </c>
      <c r="I54" s="1" t="n">
        <v>0</v>
      </c>
      <c r="J54" s="1" t="n">
        <v>0</v>
      </c>
      <c r="K54" s="17" t="n">
        <f aca="false">K53+G54</f>
        <v>17500</v>
      </c>
    </row>
    <row r="55" customFormat="false" ht="15" hidden="false" customHeight="true" outlineLevel="0" collapsed="false">
      <c r="A55" s="1" t="n">
        <v>54</v>
      </c>
      <c r="B55" s="28" t="n">
        <v>45711</v>
      </c>
      <c r="D55" s="1" t="n">
        <v>0</v>
      </c>
      <c r="E55" s="1" t="n">
        <v>0</v>
      </c>
      <c r="F55" s="1" t="n">
        <v>0</v>
      </c>
      <c r="G55" s="14" t="n">
        <f aca="false">IF(F55&gt;0,F55*10000,IF(MOD(54,7)=0,2500,0))</f>
        <v>0</v>
      </c>
      <c r="H55" s="1" t="n">
        <v>0</v>
      </c>
      <c r="I55" s="1" t="n">
        <v>0</v>
      </c>
      <c r="J55" s="1" t="n">
        <v>0</v>
      </c>
      <c r="K55" s="17" t="n">
        <f aca="false">K54+G55</f>
        <v>17500</v>
      </c>
    </row>
    <row r="56" customFormat="false" ht="15" hidden="false" customHeight="true" outlineLevel="0" collapsed="false">
      <c r="A56" s="1" t="n">
        <v>55</v>
      </c>
      <c r="B56" s="28" t="n">
        <v>45712</v>
      </c>
      <c r="D56" s="1" t="n">
        <v>0</v>
      </c>
      <c r="E56" s="1" t="n">
        <v>0</v>
      </c>
      <c r="F56" s="1" t="n">
        <v>0</v>
      </c>
      <c r="G56" s="14" t="n">
        <f aca="false">IF(F56&gt;0,F56*10000,IF(MOD(55,7)=0,2500,0))</f>
        <v>0</v>
      </c>
      <c r="H56" s="1" t="n">
        <v>0</v>
      </c>
      <c r="I56" s="1" t="n">
        <v>0</v>
      </c>
      <c r="J56" s="1" t="n">
        <v>0</v>
      </c>
      <c r="K56" s="17" t="n">
        <f aca="false">K55+G56</f>
        <v>17500</v>
      </c>
    </row>
    <row r="57" customFormat="false" ht="15" hidden="false" customHeight="true" outlineLevel="0" collapsed="false">
      <c r="A57" s="1" t="n">
        <v>56</v>
      </c>
      <c r="B57" s="28" t="n">
        <v>45713</v>
      </c>
      <c r="D57" s="1" t="n">
        <v>0</v>
      </c>
      <c r="E57" s="1" t="n">
        <v>0</v>
      </c>
      <c r="F57" s="1" t="n">
        <v>0</v>
      </c>
      <c r="G57" s="14" t="n">
        <f aca="false">IF(F57&gt;0,F57*10000,IF(MOD(56,7)=0,2500,0))</f>
        <v>2500</v>
      </c>
      <c r="H57" s="1" t="n">
        <v>0</v>
      </c>
      <c r="I57" s="1" t="n">
        <v>0</v>
      </c>
      <c r="J57" s="1" t="n">
        <v>0</v>
      </c>
      <c r="K57" s="17" t="n">
        <f aca="false">K56+G57</f>
        <v>20000</v>
      </c>
    </row>
    <row r="58" customFormat="false" ht="15" hidden="false" customHeight="true" outlineLevel="0" collapsed="false">
      <c r="A58" s="1" t="n">
        <v>57</v>
      </c>
      <c r="B58" s="28" t="n">
        <v>45714</v>
      </c>
      <c r="D58" s="1" t="n">
        <v>0</v>
      </c>
      <c r="E58" s="1" t="n">
        <v>0</v>
      </c>
      <c r="F58" s="1" t="n">
        <v>0</v>
      </c>
      <c r="G58" s="14" t="n">
        <f aca="false">IF(F58&gt;0,F58*10000,IF(MOD(57,7)=0,2500,0))</f>
        <v>0</v>
      </c>
      <c r="H58" s="1" t="n">
        <v>0</v>
      </c>
      <c r="I58" s="1" t="n">
        <v>0</v>
      </c>
      <c r="J58" s="1" t="n">
        <v>0</v>
      </c>
      <c r="K58" s="17" t="n">
        <f aca="false">K57+G58</f>
        <v>20000</v>
      </c>
    </row>
    <row r="59" customFormat="false" ht="15" hidden="false" customHeight="true" outlineLevel="0" collapsed="false">
      <c r="A59" s="1" t="n">
        <v>58</v>
      </c>
      <c r="B59" s="28" t="n">
        <v>45715</v>
      </c>
      <c r="D59" s="1" t="n">
        <v>0</v>
      </c>
      <c r="E59" s="1" t="n">
        <v>0</v>
      </c>
      <c r="F59" s="1" t="n">
        <v>0</v>
      </c>
      <c r="G59" s="14" t="n">
        <f aca="false">IF(F59&gt;0,F59*10000,IF(MOD(58,7)=0,2500,0))</f>
        <v>0</v>
      </c>
      <c r="H59" s="1" t="n">
        <v>0</v>
      </c>
      <c r="I59" s="1" t="n">
        <v>0</v>
      </c>
      <c r="J59" s="1" t="n">
        <v>0</v>
      </c>
      <c r="K59" s="17" t="n">
        <f aca="false">K58+G59</f>
        <v>20000</v>
      </c>
    </row>
    <row r="60" customFormat="false" ht="15" hidden="false" customHeight="true" outlineLevel="0" collapsed="false">
      <c r="A60" s="1" t="n">
        <v>59</v>
      </c>
      <c r="B60" s="28" t="n">
        <v>45716</v>
      </c>
      <c r="D60" s="1" t="n">
        <v>0</v>
      </c>
      <c r="E60" s="1" t="n">
        <v>0</v>
      </c>
      <c r="F60" s="1" t="n">
        <v>0</v>
      </c>
      <c r="G60" s="14" t="n">
        <f aca="false">IF(F60&gt;0,F60*10000,IF(MOD(59,7)=0,2500,0))</f>
        <v>0</v>
      </c>
      <c r="H60" s="1" t="n">
        <v>0</v>
      </c>
      <c r="I60" s="1" t="n">
        <v>0</v>
      </c>
      <c r="J60" s="1" t="n">
        <v>0</v>
      </c>
      <c r="K60" s="17" t="n">
        <f aca="false">K59+G60</f>
        <v>20000</v>
      </c>
    </row>
    <row r="61" customFormat="false" ht="15" hidden="false" customHeight="true" outlineLevel="0" collapsed="false">
      <c r="A61" s="1" t="n">
        <v>60</v>
      </c>
      <c r="B61" s="28" t="n">
        <v>45717</v>
      </c>
      <c r="D61" s="1" t="n">
        <v>0</v>
      </c>
      <c r="E61" s="1" t="n">
        <v>0</v>
      </c>
      <c r="F61" s="1" t="n">
        <v>0</v>
      </c>
      <c r="G61" s="14" t="n">
        <f aca="false">IF(F61&gt;0,F61*10000,IF(MOD(60,7)=0,2500,0))</f>
        <v>0</v>
      </c>
      <c r="H61" s="1" t="n">
        <v>0</v>
      </c>
      <c r="I61" s="1" t="n">
        <v>0</v>
      </c>
      <c r="J61" s="1" t="n">
        <v>0</v>
      </c>
      <c r="K61" s="17" t="n">
        <f aca="false">K60+G61</f>
        <v>20000</v>
      </c>
    </row>
    <row r="62" customFormat="false" ht="15" hidden="false" customHeight="true" outlineLevel="0" collapsed="false">
      <c r="A62" s="1" t="n">
        <v>61</v>
      </c>
      <c r="B62" s="28" t="n">
        <v>45718</v>
      </c>
      <c r="D62" s="1" t="n">
        <v>0</v>
      </c>
      <c r="E62" s="1" t="n">
        <v>0</v>
      </c>
      <c r="F62" s="1" t="n">
        <v>0</v>
      </c>
      <c r="G62" s="14" t="n">
        <f aca="false">IF(F62&gt;0,F62*10000,IF(MOD(61,7)=0,2500,0))</f>
        <v>0</v>
      </c>
      <c r="H62" s="1" t="n">
        <v>0</v>
      </c>
      <c r="I62" s="1" t="n">
        <v>0</v>
      </c>
      <c r="J62" s="1" t="n">
        <v>0</v>
      </c>
      <c r="K62" s="17" t="n">
        <f aca="false">K61+G62</f>
        <v>20000</v>
      </c>
    </row>
    <row r="63" customFormat="false" ht="15" hidden="false" customHeight="true" outlineLevel="0" collapsed="false">
      <c r="A63" s="1" t="n">
        <v>62</v>
      </c>
      <c r="B63" s="28" t="n">
        <v>45719</v>
      </c>
      <c r="D63" s="1" t="n">
        <v>0</v>
      </c>
      <c r="E63" s="1" t="n">
        <v>0</v>
      </c>
      <c r="F63" s="1" t="n">
        <v>0</v>
      </c>
      <c r="G63" s="14" t="n">
        <f aca="false">IF(F63&gt;0,F63*10000,IF(MOD(62,7)=0,2500,0))</f>
        <v>0</v>
      </c>
      <c r="H63" s="1" t="n">
        <v>0</v>
      </c>
      <c r="I63" s="1" t="n">
        <v>0</v>
      </c>
      <c r="J63" s="1" t="n">
        <v>0</v>
      </c>
      <c r="K63" s="17" t="n">
        <f aca="false">K62+G63</f>
        <v>20000</v>
      </c>
    </row>
    <row r="64" customFormat="false" ht="15" hidden="false" customHeight="true" outlineLevel="0" collapsed="false">
      <c r="A64" s="1" t="n">
        <v>63</v>
      </c>
      <c r="B64" s="28" t="n">
        <v>45720</v>
      </c>
      <c r="D64" s="1" t="n">
        <v>0</v>
      </c>
      <c r="E64" s="1" t="n">
        <v>0</v>
      </c>
      <c r="F64" s="1" t="n">
        <v>0</v>
      </c>
      <c r="G64" s="14" t="n">
        <f aca="false">IF(F64&gt;0,F64*10000,IF(MOD(63,7)=0,2500,0))</f>
        <v>2500</v>
      </c>
      <c r="H64" s="1" t="n">
        <v>0</v>
      </c>
      <c r="I64" s="1" t="n">
        <v>0</v>
      </c>
      <c r="J64" s="1" t="n">
        <v>0</v>
      </c>
      <c r="K64" s="17" t="n">
        <f aca="false">K63+G64</f>
        <v>22500</v>
      </c>
    </row>
    <row r="65" customFormat="false" ht="15" hidden="false" customHeight="true" outlineLevel="0" collapsed="false">
      <c r="A65" s="1" t="n">
        <v>64</v>
      </c>
      <c r="B65" s="28" t="n">
        <v>45721</v>
      </c>
      <c r="D65" s="1" t="n">
        <v>0</v>
      </c>
      <c r="E65" s="1" t="n">
        <v>0</v>
      </c>
      <c r="F65" s="1" t="n">
        <v>0</v>
      </c>
      <c r="G65" s="14" t="n">
        <f aca="false">IF(F65&gt;0,F65*10000,IF(MOD(64,7)=0,2500,0))</f>
        <v>0</v>
      </c>
      <c r="H65" s="1" t="n">
        <v>0</v>
      </c>
      <c r="I65" s="1" t="n">
        <v>0</v>
      </c>
      <c r="J65" s="1" t="n">
        <v>0</v>
      </c>
      <c r="K65" s="17" t="n">
        <f aca="false">K64+G65</f>
        <v>22500</v>
      </c>
    </row>
    <row r="66" customFormat="false" ht="15" hidden="false" customHeight="true" outlineLevel="0" collapsed="false">
      <c r="A66" s="1" t="n">
        <v>65</v>
      </c>
      <c r="B66" s="28" t="n">
        <v>45722</v>
      </c>
      <c r="D66" s="1" t="n">
        <v>0</v>
      </c>
      <c r="E66" s="1" t="n">
        <v>0</v>
      </c>
      <c r="F66" s="1" t="n">
        <v>0</v>
      </c>
      <c r="G66" s="14" t="n">
        <f aca="false">IF(F66&gt;0,F66*10000,IF(MOD(65,7)=0,2500,0))</f>
        <v>0</v>
      </c>
      <c r="H66" s="1" t="n">
        <v>0</v>
      </c>
      <c r="I66" s="1" t="n">
        <v>0</v>
      </c>
      <c r="J66" s="1" t="n">
        <v>0</v>
      </c>
      <c r="K66" s="17" t="n">
        <f aca="false">K65+G66</f>
        <v>22500</v>
      </c>
    </row>
    <row r="67" customFormat="false" ht="15" hidden="false" customHeight="true" outlineLevel="0" collapsed="false">
      <c r="A67" s="1" t="n">
        <v>66</v>
      </c>
      <c r="B67" s="28" t="n">
        <v>45723</v>
      </c>
      <c r="D67" s="1" t="n">
        <v>0</v>
      </c>
      <c r="E67" s="1" t="n">
        <v>0</v>
      </c>
      <c r="F67" s="1" t="n">
        <v>0</v>
      </c>
      <c r="G67" s="14" t="n">
        <f aca="false">IF(F67&gt;0,F67*10000,IF(MOD(66,7)=0,2500,0))</f>
        <v>0</v>
      </c>
      <c r="H67" s="1" t="n">
        <v>0</v>
      </c>
      <c r="I67" s="1" t="n">
        <v>0</v>
      </c>
      <c r="J67" s="1" t="n">
        <v>0</v>
      </c>
      <c r="K67" s="17" t="n">
        <f aca="false">K66+G67</f>
        <v>22500</v>
      </c>
    </row>
    <row r="68" customFormat="false" ht="15" hidden="false" customHeight="true" outlineLevel="0" collapsed="false">
      <c r="A68" s="1" t="n">
        <v>67</v>
      </c>
      <c r="B68" s="28" t="n">
        <v>45724</v>
      </c>
      <c r="D68" s="1" t="n">
        <v>0</v>
      </c>
      <c r="E68" s="1" t="n">
        <v>0</v>
      </c>
      <c r="F68" s="1" t="n">
        <v>0</v>
      </c>
      <c r="G68" s="14" t="n">
        <f aca="false">IF(F68&gt;0,F68*10000,IF(MOD(67,7)=0,2500,0))</f>
        <v>0</v>
      </c>
      <c r="H68" s="1" t="n">
        <v>0</v>
      </c>
      <c r="I68" s="1" t="n">
        <v>0</v>
      </c>
      <c r="J68" s="1" t="n">
        <v>0</v>
      </c>
      <c r="K68" s="17" t="n">
        <f aca="false">K67+G68</f>
        <v>22500</v>
      </c>
    </row>
    <row r="69" customFormat="false" ht="15" hidden="false" customHeight="true" outlineLevel="0" collapsed="false">
      <c r="A69" s="1" t="n">
        <v>68</v>
      </c>
      <c r="B69" s="28" t="n">
        <v>45725</v>
      </c>
      <c r="D69" s="1" t="n">
        <v>0</v>
      </c>
      <c r="E69" s="1" t="n">
        <v>0</v>
      </c>
      <c r="F69" s="1" t="n">
        <v>0</v>
      </c>
      <c r="G69" s="14" t="n">
        <f aca="false">IF(F69&gt;0,F69*10000,IF(MOD(68,7)=0,2500,0))</f>
        <v>0</v>
      </c>
      <c r="H69" s="1" t="n">
        <v>0</v>
      </c>
      <c r="I69" s="1" t="n">
        <v>0</v>
      </c>
      <c r="J69" s="1" t="n">
        <v>0</v>
      </c>
      <c r="K69" s="17" t="n">
        <f aca="false">K68+G69</f>
        <v>22500</v>
      </c>
    </row>
    <row r="70" customFormat="false" ht="15" hidden="false" customHeight="true" outlineLevel="0" collapsed="false">
      <c r="A70" s="1" t="n">
        <v>69</v>
      </c>
      <c r="B70" s="28" t="n">
        <v>45726</v>
      </c>
      <c r="D70" s="1" t="n">
        <v>0</v>
      </c>
      <c r="E70" s="1" t="n">
        <v>0</v>
      </c>
      <c r="F70" s="1" t="n">
        <v>0</v>
      </c>
      <c r="G70" s="14" t="n">
        <f aca="false">IF(F70&gt;0,F70*10000,IF(MOD(69,7)=0,2500,0))</f>
        <v>0</v>
      </c>
      <c r="H70" s="1" t="n">
        <v>0</v>
      </c>
      <c r="I70" s="1" t="n">
        <v>0</v>
      </c>
      <c r="J70" s="1" t="n">
        <v>0</v>
      </c>
      <c r="K70" s="17" t="n">
        <f aca="false">K69+G70</f>
        <v>22500</v>
      </c>
    </row>
    <row r="71" customFormat="false" ht="15" hidden="false" customHeight="true" outlineLevel="0" collapsed="false">
      <c r="A71" s="1" t="n">
        <v>70</v>
      </c>
      <c r="B71" s="28" t="n">
        <v>45727</v>
      </c>
      <c r="D71" s="1" t="n">
        <v>0</v>
      </c>
      <c r="E71" s="1" t="n">
        <v>0</v>
      </c>
      <c r="F71" s="1" t="n">
        <v>0</v>
      </c>
      <c r="G71" s="14" t="n">
        <f aca="false">IF(F71&gt;0,F71*10000,IF(MOD(70,7)=0,2500,0))</f>
        <v>2500</v>
      </c>
      <c r="H71" s="1" t="n">
        <v>0</v>
      </c>
      <c r="I71" s="1" t="n">
        <v>0</v>
      </c>
      <c r="J71" s="1" t="n">
        <v>0</v>
      </c>
      <c r="K71" s="17" t="n">
        <f aca="false">K70+G71</f>
        <v>25000</v>
      </c>
    </row>
    <row r="72" customFormat="false" ht="15" hidden="false" customHeight="true" outlineLevel="0" collapsed="false">
      <c r="A72" s="1" t="n">
        <v>71</v>
      </c>
      <c r="B72" s="28" t="n">
        <v>45728</v>
      </c>
      <c r="D72" s="1" t="n">
        <v>0</v>
      </c>
      <c r="E72" s="1" t="n">
        <v>0</v>
      </c>
      <c r="F72" s="1" t="n">
        <v>0</v>
      </c>
      <c r="G72" s="14" t="n">
        <f aca="false">IF(F72&gt;0,F72*10000,IF(MOD(71,7)=0,2500,0))</f>
        <v>0</v>
      </c>
      <c r="H72" s="1" t="n">
        <v>0</v>
      </c>
      <c r="I72" s="1" t="n">
        <v>0</v>
      </c>
      <c r="J72" s="1" t="n">
        <v>0</v>
      </c>
      <c r="K72" s="17" t="n">
        <f aca="false">K71+G72</f>
        <v>25000</v>
      </c>
    </row>
    <row r="73" customFormat="false" ht="15" hidden="false" customHeight="true" outlineLevel="0" collapsed="false">
      <c r="A73" s="1" t="n">
        <v>72</v>
      </c>
      <c r="B73" s="28" t="n">
        <v>45729</v>
      </c>
      <c r="D73" s="1" t="n">
        <v>0</v>
      </c>
      <c r="E73" s="1" t="n">
        <v>0</v>
      </c>
      <c r="F73" s="1" t="n">
        <v>0</v>
      </c>
      <c r="G73" s="14" t="n">
        <f aca="false">IF(F73&gt;0,F73*10000,IF(MOD(72,7)=0,2500,0))</f>
        <v>0</v>
      </c>
      <c r="H73" s="1" t="n">
        <v>0</v>
      </c>
      <c r="I73" s="1" t="n">
        <v>0</v>
      </c>
      <c r="J73" s="1" t="n">
        <v>0</v>
      </c>
      <c r="K73" s="17" t="n">
        <f aca="false">K72+G73</f>
        <v>25000</v>
      </c>
    </row>
    <row r="74" customFormat="false" ht="15" hidden="false" customHeight="true" outlineLevel="0" collapsed="false">
      <c r="A74" s="1" t="n">
        <v>73</v>
      </c>
      <c r="B74" s="28" t="n">
        <v>45730</v>
      </c>
      <c r="D74" s="1" t="n">
        <v>0</v>
      </c>
      <c r="E74" s="1" t="n">
        <v>0</v>
      </c>
      <c r="F74" s="1" t="n">
        <v>0</v>
      </c>
      <c r="G74" s="14" t="n">
        <f aca="false">IF(F74&gt;0,F74*10000,IF(MOD(73,7)=0,2500,0))</f>
        <v>0</v>
      </c>
      <c r="H74" s="1" t="n">
        <v>0</v>
      </c>
      <c r="I74" s="1" t="n">
        <v>0</v>
      </c>
      <c r="J74" s="1" t="n">
        <v>0</v>
      </c>
      <c r="K74" s="17" t="n">
        <f aca="false">K73+G74</f>
        <v>25000</v>
      </c>
    </row>
    <row r="75" customFormat="false" ht="15" hidden="false" customHeight="true" outlineLevel="0" collapsed="false">
      <c r="A75" s="1" t="n">
        <v>74</v>
      </c>
      <c r="B75" s="28" t="n">
        <v>45731</v>
      </c>
      <c r="D75" s="1" t="n">
        <v>0</v>
      </c>
      <c r="E75" s="1" t="n">
        <v>0</v>
      </c>
      <c r="F75" s="1" t="n">
        <v>0</v>
      </c>
      <c r="G75" s="14" t="n">
        <f aca="false">IF(F75&gt;0,F75*10000,IF(MOD(74,7)=0,2500,0))</f>
        <v>0</v>
      </c>
      <c r="H75" s="1" t="n">
        <v>0</v>
      </c>
      <c r="I75" s="1" t="n">
        <v>0</v>
      </c>
      <c r="J75" s="1" t="n">
        <v>0</v>
      </c>
      <c r="K75" s="17" t="n">
        <f aca="false">K74+G75</f>
        <v>25000</v>
      </c>
    </row>
    <row r="76" customFormat="false" ht="15" hidden="false" customHeight="true" outlineLevel="0" collapsed="false">
      <c r="A76" s="1" t="n">
        <v>75</v>
      </c>
      <c r="B76" s="28" t="n">
        <v>45732</v>
      </c>
      <c r="D76" s="1" t="n">
        <v>0</v>
      </c>
      <c r="E76" s="1" t="n">
        <v>0</v>
      </c>
      <c r="F76" s="1" t="n">
        <v>0</v>
      </c>
      <c r="G76" s="14" t="n">
        <f aca="false">IF(F76&gt;0,F76*10000,IF(MOD(75,7)=0,2500,0))</f>
        <v>0</v>
      </c>
      <c r="H76" s="1" t="n">
        <v>0</v>
      </c>
      <c r="I76" s="1" t="n">
        <v>0</v>
      </c>
      <c r="J76" s="1" t="n">
        <v>0</v>
      </c>
      <c r="K76" s="17" t="n">
        <f aca="false">K75+G76</f>
        <v>25000</v>
      </c>
    </row>
    <row r="77" customFormat="false" ht="15" hidden="false" customHeight="true" outlineLevel="0" collapsed="false">
      <c r="A77" s="1" t="n">
        <v>76</v>
      </c>
      <c r="B77" s="28" t="n">
        <v>45733</v>
      </c>
      <c r="D77" s="1" t="n">
        <v>0</v>
      </c>
      <c r="E77" s="1" t="n">
        <v>0</v>
      </c>
      <c r="F77" s="1" t="n">
        <v>0</v>
      </c>
      <c r="G77" s="14" t="n">
        <f aca="false">IF(F77&gt;0,F77*10000,IF(MOD(76,7)=0,2500,0))</f>
        <v>0</v>
      </c>
      <c r="H77" s="1" t="n">
        <v>0</v>
      </c>
      <c r="I77" s="1" t="n">
        <v>0</v>
      </c>
      <c r="J77" s="1" t="n">
        <v>0</v>
      </c>
      <c r="K77" s="17" t="n">
        <f aca="false">K76+G77</f>
        <v>25000</v>
      </c>
    </row>
    <row r="78" customFormat="false" ht="15" hidden="false" customHeight="true" outlineLevel="0" collapsed="false">
      <c r="A78" s="1" t="n">
        <v>77</v>
      </c>
      <c r="B78" s="28" t="n">
        <v>45734</v>
      </c>
      <c r="D78" s="1" t="n">
        <v>0</v>
      </c>
      <c r="E78" s="1" t="n">
        <v>0</v>
      </c>
      <c r="F78" s="1" t="n">
        <v>0</v>
      </c>
      <c r="G78" s="14" t="n">
        <f aca="false">IF(F78&gt;0,F78*10000,IF(MOD(77,7)=0,2500,0))</f>
        <v>2500</v>
      </c>
      <c r="H78" s="1" t="n">
        <v>0</v>
      </c>
      <c r="I78" s="1" t="n">
        <v>0</v>
      </c>
      <c r="J78" s="1" t="n">
        <v>0</v>
      </c>
      <c r="K78" s="17" t="n">
        <f aca="false">K77+G78</f>
        <v>27500</v>
      </c>
    </row>
    <row r="79" customFormat="false" ht="15" hidden="false" customHeight="true" outlineLevel="0" collapsed="false">
      <c r="A79" s="1" t="n">
        <v>78</v>
      </c>
      <c r="B79" s="28" t="n">
        <v>45735</v>
      </c>
      <c r="D79" s="1" t="n">
        <v>0</v>
      </c>
      <c r="E79" s="1" t="n">
        <v>0</v>
      </c>
      <c r="F79" s="1" t="n">
        <v>0</v>
      </c>
      <c r="G79" s="14" t="n">
        <f aca="false">IF(F79&gt;0,F79*10000,IF(MOD(78,7)=0,2500,0))</f>
        <v>0</v>
      </c>
      <c r="H79" s="1" t="n">
        <v>0</v>
      </c>
      <c r="I79" s="1" t="n">
        <v>0</v>
      </c>
      <c r="J79" s="1" t="n">
        <v>0</v>
      </c>
      <c r="K79" s="17" t="n">
        <f aca="false">K78+G79</f>
        <v>27500</v>
      </c>
    </row>
    <row r="80" customFormat="false" ht="15" hidden="false" customHeight="true" outlineLevel="0" collapsed="false">
      <c r="A80" s="1" t="n">
        <v>79</v>
      </c>
      <c r="B80" s="28" t="n">
        <v>45736</v>
      </c>
      <c r="D80" s="1" t="n">
        <v>0</v>
      </c>
      <c r="E80" s="1" t="n">
        <v>0</v>
      </c>
      <c r="F80" s="1" t="n">
        <v>0</v>
      </c>
      <c r="G80" s="14" t="n">
        <f aca="false">IF(F80&gt;0,F80*10000,IF(MOD(79,7)=0,2500,0))</f>
        <v>0</v>
      </c>
      <c r="H80" s="1" t="n">
        <v>0</v>
      </c>
      <c r="I80" s="1" t="n">
        <v>0</v>
      </c>
      <c r="J80" s="1" t="n">
        <v>0</v>
      </c>
      <c r="K80" s="17" t="n">
        <f aca="false">K79+G80</f>
        <v>27500</v>
      </c>
    </row>
    <row r="81" customFormat="false" ht="15" hidden="false" customHeight="true" outlineLevel="0" collapsed="false">
      <c r="A81" s="1" t="n">
        <v>80</v>
      </c>
      <c r="B81" s="28" t="n">
        <v>45737</v>
      </c>
      <c r="D81" s="1" t="n">
        <v>0</v>
      </c>
      <c r="E81" s="1" t="n">
        <v>0</v>
      </c>
      <c r="F81" s="1" t="n">
        <v>0</v>
      </c>
      <c r="G81" s="14" t="n">
        <f aca="false">IF(F81&gt;0,F81*10000,IF(MOD(80,7)=0,2500,0))</f>
        <v>0</v>
      </c>
      <c r="H81" s="1" t="n">
        <v>0</v>
      </c>
      <c r="I81" s="1" t="n">
        <v>0</v>
      </c>
      <c r="J81" s="1" t="n">
        <v>0</v>
      </c>
      <c r="K81" s="17" t="n">
        <f aca="false">K80+G81</f>
        <v>27500</v>
      </c>
    </row>
    <row r="82" customFormat="false" ht="15" hidden="false" customHeight="true" outlineLevel="0" collapsed="false">
      <c r="A82" s="1" t="n">
        <v>81</v>
      </c>
      <c r="B82" s="28" t="n">
        <v>45738</v>
      </c>
      <c r="D82" s="1" t="n">
        <v>0</v>
      </c>
      <c r="E82" s="1" t="n">
        <v>0</v>
      </c>
      <c r="F82" s="1" t="n">
        <v>0</v>
      </c>
      <c r="G82" s="14" t="n">
        <f aca="false">IF(F82&gt;0,F82*10000,IF(MOD(81,7)=0,2500,0))</f>
        <v>0</v>
      </c>
      <c r="H82" s="1" t="n">
        <v>0</v>
      </c>
      <c r="I82" s="1" t="n">
        <v>0</v>
      </c>
      <c r="J82" s="1" t="n">
        <v>0</v>
      </c>
      <c r="K82" s="17" t="n">
        <f aca="false">K81+G82</f>
        <v>27500</v>
      </c>
    </row>
    <row r="83" customFormat="false" ht="15" hidden="false" customHeight="true" outlineLevel="0" collapsed="false">
      <c r="A83" s="1" t="n">
        <v>82</v>
      </c>
      <c r="B83" s="28" t="n">
        <v>45739</v>
      </c>
      <c r="D83" s="1" t="n">
        <v>0</v>
      </c>
      <c r="E83" s="1" t="n">
        <v>0</v>
      </c>
      <c r="F83" s="1" t="n">
        <v>0</v>
      </c>
      <c r="G83" s="14" t="n">
        <f aca="false">IF(F83&gt;0,F83*10000,IF(MOD(82,7)=0,2500,0))</f>
        <v>0</v>
      </c>
      <c r="H83" s="1" t="n">
        <v>0</v>
      </c>
      <c r="I83" s="1" t="n">
        <v>0</v>
      </c>
      <c r="J83" s="1" t="n">
        <v>0</v>
      </c>
      <c r="K83" s="17" t="n">
        <f aca="false">K82+G83</f>
        <v>27500</v>
      </c>
    </row>
    <row r="84" customFormat="false" ht="15" hidden="false" customHeight="true" outlineLevel="0" collapsed="false">
      <c r="A84" s="1" t="n">
        <v>83</v>
      </c>
      <c r="B84" s="28" t="n">
        <v>45740</v>
      </c>
      <c r="D84" s="1" t="n">
        <v>0</v>
      </c>
      <c r="E84" s="1" t="n">
        <v>0</v>
      </c>
      <c r="F84" s="1" t="n">
        <v>0</v>
      </c>
      <c r="G84" s="14" t="n">
        <f aca="false">IF(F84&gt;0,F84*10000,IF(MOD(83,7)=0,2500,0))</f>
        <v>0</v>
      </c>
      <c r="H84" s="1" t="n">
        <v>0</v>
      </c>
      <c r="I84" s="1" t="n">
        <v>0</v>
      </c>
      <c r="J84" s="1" t="n">
        <v>0</v>
      </c>
      <c r="K84" s="17" t="n">
        <f aca="false">K83+G84</f>
        <v>27500</v>
      </c>
    </row>
    <row r="85" customFormat="false" ht="15" hidden="false" customHeight="true" outlineLevel="0" collapsed="false">
      <c r="A85" s="1" t="n">
        <v>84</v>
      </c>
      <c r="B85" s="28" t="n">
        <v>45741</v>
      </c>
      <c r="D85" s="1" t="n">
        <v>0</v>
      </c>
      <c r="E85" s="1" t="n">
        <v>0</v>
      </c>
      <c r="F85" s="1" t="n">
        <v>0</v>
      </c>
      <c r="G85" s="14" t="n">
        <f aca="false">IF(F85&gt;0,F85*10000,IF(MOD(84,7)=0,2500,0))</f>
        <v>2500</v>
      </c>
      <c r="H85" s="1" t="n">
        <v>0</v>
      </c>
      <c r="I85" s="1" t="n">
        <v>0</v>
      </c>
      <c r="J85" s="1" t="n">
        <v>0</v>
      </c>
      <c r="K85" s="17" t="n">
        <f aca="false">K84+G85</f>
        <v>30000</v>
      </c>
    </row>
    <row r="86" customFormat="false" ht="15" hidden="false" customHeight="true" outlineLevel="0" collapsed="false">
      <c r="A86" s="1" t="n">
        <v>85</v>
      </c>
      <c r="B86" s="28" t="n">
        <v>45742</v>
      </c>
      <c r="D86" s="1" t="n">
        <v>0</v>
      </c>
      <c r="E86" s="1" t="n">
        <v>0</v>
      </c>
      <c r="F86" s="1" t="n">
        <v>0</v>
      </c>
      <c r="G86" s="14" t="n">
        <f aca="false">IF(F86&gt;0,F86*10000,IF(MOD(85,7)=0,2500,0))</f>
        <v>0</v>
      </c>
      <c r="H86" s="1" t="n">
        <v>0</v>
      </c>
      <c r="I86" s="1" t="n">
        <v>0</v>
      </c>
      <c r="J86" s="1" t="n">
        <v>0</v>
      </c>
      <c r="K86" s="17" t="n">
        <f aca="false">K85+G86</f>
        <v>30000</v>
      </c>
    </row>
    <row r="87" customFormat="false" ht="15" hidden="false" customHeight="true" outlineLevel="0" collapsed="false">
      <c r="A87" s="1" t="n">
        <v>86</v>
      </c>
      <c r="B87" s="28" t="n">
        <v>45743</v>
      </c>
      <c r="D87" s="1" t="n">
        <v>0</v>
      </c>
      <c r="E87" s="1" t="n">
        <v>0</v>
      </c>
      <c r="F87" s="1" t="n">
        <v>0</v>
      </c>
      <c r="G87" s="14" t="n">
        <f aca="false">IF(F87&gt;0,F87*10000,IF(MOD(86,7)=0,2500,0))</f>
        <v>0</v>
      </c>
      <c r="H87" s="1" t="n">
        <v>0</v>
      </c>
      <c r="I87" s="1" t="n">
        <v>0</v>
      </c>
      <c r="J87" s="1" t="n">
        <v>0</v>
      </c>
      <c r="K87" s="17" t="n">
        <f aca="false">K86+G87</f>
        <v>30000</v>
      </c>
    </row>
    <row r="88" customFormat="false" ht="15" hidden="false" customHeight="true" outlineLevel="0" collapsed="false">
      <c r="A88" s="1" t="n">
        <v>87</v>
      </c>
      <c r="B88" s="28" t="n">
        <v>45744</v>
      </c>
      <c r="D88" s="1" t="n">
        <v>0</v>
      </c>
      <c r="E88" s="1" t="n">
        <v>0</v>
      </c>
      <c r="F88" s="1" t="n">
        <v>0</v>
      </c>
      <c r="G88" s="14" t="n">
        <f aca="false">IF(F88&gt;0,F88*10000,IF(MOD(87,7)=0,2500,0))</f>
        <v>0</v>
      </c>
      <c r="H88" s="1" t="n">
        <v>0</v>
      </c>
      <c r="I88" s="1" t="n">
        <v>0</v>
      </c>
      <c r="J88" s="1" t="n">
        <v>0</v>
      </c>
      <c r="K88" s="17" t="n">
        <f aca="false">K87+G88</f>
        <v>30000</v>
      </c>
    </row>
    <row r="89" customFormat="false" ht="15" hidden="false" customHeight="true" outlineLevel="0" collapsed="false">
      <c r="A89" s="1" t="n">
        <v>88</v>
      </c>
      <c r="B89" s="28" t="n">
        <v>45745</v>
      </c>
      <c r="D89" s="1" t="n">
        <v>0</v>
      </c>
      <c r="E89" s="1" t="n">
        <v>0</v>
      </c>
      <c r="F89" s="1" t="n">
        <v>0</v>
      </c>
      <c r="G89" s="14" t="n">
        <f aca="false">IF(F89&gt;0,F89*10000,IF(MOD(88,7)=0,2500,0))</f>
        <v>0</v>
      </c>
      <c r="H89" s="1" t="n">
        <v>0</v>
      </c>
      <c r="I89" s="1" t="n">
        <v>0</v>
      </c>
      <c r="J89" s="1" t="n">
        <v>0</v>
      </c>
      <c r="K89" s="17" t="n">
        <f aca="false">K88+G89</f>
        <v>30000</v>
      </c>
    </row>
    <row r="90" customFormat="false" ht="15" hidden="false" customHeight="true" outlineLevel="0" collapsed="false">
      <c r="A90" s="1" t="n">
        <v>89</v>
      </c>
      <c r="B90" s="28" t="n">
        <v>45746</v>
      </c>
      <c r="D90" s="1" t="n">
        <v>0</v>
      </c>
      <c r="E90" s="1" t="n">
        <v>0</v>
      </c>
      <c r="F90" s="1" t="n">
        <v>0</v>
      </c>
      <c r="G90" s="14" t="n">
        <f aca="false">IF(F90&gt;0,F90*10000,IF(MOD(89,7)=0,2500,0))</f>
        <v>0</v>
      </c>
      <c r="H90" s="1" t="n">
        <v>0</v>
      </c>
      <c r="I90" s="1" t="n">
        <v>0</v>
      </c>
      <c r="J90" s="1" t="n">
        <v>0</v>
      </c>
      <c r="K90" s="17" t="n">
        <f aca="false">K89+G90</f>
        <v>30000</v>
      </c>
    </row>
    <row r="91" customFormat="false" ht="15" hidden="false" customHeight="true" outlineLevel="0" collapsed="false">
      <c r="A91" s="1" t="n">
        <v>90</v>
      </c>
      <c r="B91" s="28" t="n">
        <v>45747</v>
      </c>
      <c r="D91" s="1" t="n">
        <v>0</v>
      </c>
      <c r="E91" s="1" t="n">
        <v>0</v>
      </c>
      <c r="F91" s="1" t="n">
        <v>0</v>
      </c>
      <c r="G91" s="14" t="n">
        <f aca="false">IF(F91&gt;0,F91*10000,IF(MOD(90,7)=0,2500,0))</f>
        <v>0</v>
      </c>
      <c r="H91" s="1" t="n">
        <v>0</v>
      </c>
      <c r="I91" s="1" t="n">
        <v>0</v>
      </c>
      <c r="J91" s="1" t="n">
        <v>0</v>
      </c>
      <c r="K91" s="17" t="n">
        <f aca="false">K90+G91</f>
        <v>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2026-02-27T16:49:40Z</dcterms:created>
  <dc:creator>openpyxl</dc:creator>
  <dc:description/>
  <dc:language>en-US</dc:language>
  <cp:lastModifiedBy/>
  <dcterms:modified xsi:type="dcterms:W3CDTF">2026-02-27T16:51:37Z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